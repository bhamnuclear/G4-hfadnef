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LISEcute\_install\"/>
    </mc:Choice>
  </mc:AlternateContent>
  <xr:revisionPtr revIDLastSave="0" documentId="13_ncr:1_{52A0BC81-60B4-4D07-A9F4-8B645A24AF95}" xr6:coauthVersionLast="47" xr6:coauthVersionMax="47" xr10:uidLastSave="{00000000-0000-0000-0000-000000000000}"/>
  <bookViews>
    <workbookView xWindow="-28860" yWindow="17880" windowWidth="29040" windowHeight="15720" tabRatio="909" firstSheet="1" activeTab="1" xr2:uid="{00000000-000D-0000-FFFF-FFFF00000000}"/>
  </bookViews>
  <sheets>
    <sheet name="LISE" sheetId="1" state="veryHidden" r:id=""/>
    <sheet name="List of shorLISE.xlsm functions" sheetId="11" r:id="rId1"/>
    <sheet name="data" sheetId="9" state="hidden" r:id="rId2"/>
  </sheets>
  <functionGroups builtInGroupCount="19"/>
  <externalReferences>
    <externalReference r:id="rId3"/>
  </externalReferences>
  <definedNames>
    <definedName name="_1st_Z__detector_material">#REF!</definedName>
    <definedName name="_1st_Z__detector_thickness">#REF!</definedName>
    <definedName name="_Rn1">#REF!</definedName>
    <definedName name="_Rn2">#REF!</definedName>
    <definedName name="_Rp1">#REF!</definedName>
    <definedName name="_Rt1">#REF!</definedName>
    <definedName name="A__from_A_q___q___integer">#REF!</definedName>
    <definedName name="A__from_A_q___q___measur">#REF!</definedName>
    <definedName name="A__from_TKE">#REF!</definedName>
    <definedName name="A_2">#REF!</definedName>
    <definedName name="A_2q">#REF!</definedName>
    <definedName name="A_2Z">#REF!</definedName>
    <definedName name="A_3q">#REF!</definedName>
    <definedName name="a_pin_de">[1]parameters!$D$10</definedName>
    <definedName name="a_pin_deC">[1]parameters!$T$10</definedName>
    <definedName name="A_q">#REF!</definedName>
    <definedName name="a_sci_de">[1]parameters!$H$10</definedName>
    <definedName name="a_sci_deC">[1]parameters!$X$10</definedName>
    <definedName name="a_tof">[1]parameters!$D$5</definedName>
    <definedName name="a_tof_c1">[1]parameters!$T$5</definedName>
    <definedName name="a_tof_c2">[1]parameters!$X$5</definedName>
    <definedName name="a_tof2">[1]parameters!$H$5</definedName>
    <definedName name="a_z">[1]parameters!$D$18</definedName>
    <definedName name="a_z_C">[1]parameters!$T$14</definedName>
    <definedName name="A2_">#REF!</definedName>
    <definedName name="Ac">#REF!</definedName>
    <definedName name="Ac3_">#REF!</definedName>
    <definedName name="aem">[1]parameters!$H$23</definedName>
    <definedName name="Afragment">#REF!</definedName>
    <definedName name="amp1_">#REF!</definedName>
    <definedName name="amp2_">#REF!</definedName>
    <definedName name="ampAG">#REF!</definedName>
    <definedName name="ampG">#REF!</definedName>
    <definedName name="AngDif1">#REF!</definedName>
    <definedName name="AngDif2">#REF!</definedName>
    <definedName name="Ap">#REF!</definedName>
    <definedName name="Ap3_">#REF!</definedName>
    <definedName name="Aparticle">#REF!</definedName>
    <definedName name="Aparticle_g">#REF!</definedName>
    <definedName name="Aq_2">#REF!</definedName>
    <definedName name="areaAG">#REF!</definedName>
    <definedName name="areaG">#REF!</definedName>
    <definedName name="asym1">#REF!</definedName>
    <definedName name="asym2">#REF!</definedName>
    <definedName name="asymAG">#REF!</definedName>
    <definedName name="asymG">#REF!</definedName>
    <definedName name="Asymmetric_Answer">#REF!</definedName>
    <definedName name="At">#REF!</definedName>
    <definedName name="At3_">#REF!</definedName>
    <definedName name="AtAp3">#REF!</definedName>
    <definedName name="Atarget">#REF!</definedName>
    <definedName name="Atarget_g">#REF!</definedName>
    <definedName name="b_pin_de">[1]parameters!$D$11</definedName>
    <definedName name="b_pin_deC">[1]parameters!$T$11</definedName>
    <definedName name="b_sci_de">[1]parameters!$H$11</definedName>
    <definedName name="b_sci_deC">[1]parameters!$X$11</definedName>
    <definedName name="b_tof">[1]parameters!$D$6</definedName>
    <definedName name="b_tof_c1">[1]parameters!$T$6</definedName>
    <definedName name="b_tof_c2">[1]parameters!$X$6</definedName>
    <definedName name="b_tof2">[1]parameters!$H$6</definedName>
    <definedName name="b_z">[1]parameters!$D$19</definedName>
    <definedName name="b_z_C">[1]parameters!$T$15</definedName>
    <definedName name="BeamZ">#REF!</definedName>
    <definedName name="beta">#REF!</definedName>
    <definedName name="beta_2">#REF!</definedName>
    <definedName name="beta_up">#REF!</definedName>
    <definedName name="beta_up2">#REF!</definedName>
    <definedName name="beta2">#REF!</definedName>
    <definedName name="betaS_up">#REF!</definedName>
    <definedName name="betaS2">#REF!</definedName>
    <definedName name="betaS2_up">#REF!</definedName>
    <definedName name="bgr">#REF!</definedName>
    <definedName name="Brho">#REF!</definedName>
    <definedName name="brho_up">#REF!</definedName>
    <definedName name="Brho12">[1]parameters!$O$5</definedName>
    <definedName name="bunch_distance1">[1]parameters!$D$7</definedName>
    <definedName name="bunch_distance2">[1]parameters!$H$7</definedName>
    <definedName name="C_">#REF!</definedName>
    <definedName name="c_speed">[1]parameters!$H$22</definedName>
    <definedName name="CCp">#REF!</definedName>
    <definedName name="CCt">#REF!</definedName>
    <definedName name="coef_Aq">#REF!</definedName>
    <definedName name="Cp">#REF!</definedName>
    <definedName name="Cp1_">#REF!</definedName>
    <definedName name="Cp2_">#REF!</definedName>
    <definedName name="Ct">#REF!</definedName>
    <definedName name="Ct1_">#REF!</definedName>
    <definedName name="Ct2_">#REF!</definedName>
    <definedName name="d_AoQ_1">#REF!</definedName>
    <definedName name="d_AoQ_2">#REF!</definedName>
    <definedName name="dA_shift">#REF!</definedName>
    <definedName name="dEc">#REF!</definedName>
    <definedName name="definition">#REF!</definedName>
    <definedName name="dEp">#REF!</definedName>
    <definedName name="dEt">#REF!</definedName>
    <definedName name="Detector_resolution">#REF!</definedName>
    <definedName name="Dgr">#REF!</definedName>
    <definedName name="Dgr_AtAp">#REF!</definedName>
    <definedName name="Dgr_AtAp3">#REF!</definedName>
    <definedName name="dispersion">[1]parameters!$H$29</definedName>
    <definedName name="E1_loss">#REF!</definedName>
    <definedName name="Ecm">#REF!</definedName>
    <definedName name="Ecm_Q">#REF!</definedName>
    <definedName name="Elab">#REF!</definedName>
    <definedName name="Elab_A">#REF!</definedName>
    <definedName name="Eloss_option">#REF!</definedName>
    <definedName name="energy">#REF!</definedName>
    <definedName name="Energy_2">#REF!</definedName>
    <definedName name="Energy_g">#REF!</definedName>
    <definedName name="Energy_loss_option">#REF!</definedName>
    <definedName name="Energy2">#REF!</definedName>
    <definedName name="ETA">#REF!</definedName>
    <definedName name="Fast_g">#REF!</definedName>
    <definedName name="Flight_Length">#REF!</definedName>
    <definedName name="formula">#REF!</definedName>
    <definedName name="gamma">#REF!</definedName>
    <definedName name="gamma_2">#REF!</definedName>
    <definedName name="gamma_up">#REF!</definedName>
    <definedName name="gammaS_up">#REF!</definedName>
    <definedName name="HF">[1]parameters!$H$15</definedName>
    <definedName name="IonMass">#REF!</definedName>
    <definedName name="k">#REF!</definedName>
    <definedName name="Lcr">#REF!</definedName>
    <definedName name="LcriticalF">#REF!</definedName>
    <definedName name="length1">[1]parameters!$H$18</definedName>
    <definedName name="length2">[1]parameters!$H$19</definedName>
    <definedName name="Lmax">#REF!</definedName>
    <definedName name="m">#REF!</definedName>
    <definedName name="M_ion">#REF!</definedName>
    <definedName name="M_ion_2">#REF!</definedName>
    <definedName name="M_ion_q_2">#REF!</definedName>
    <definedName name="M_isotope">#REF!</definedName>
    <definedName name="M_isotope_2">#REF!</definedName>
    <definedName name="m_TOF">#REF!</definedName>
    <definedName name="mass_58Ni">[1]parameters!#REF!</definedName>
    <definedName name="Material_pin">[1]parameters!$D$12</definedName>
    <definedName name="Mc">#REF!</definedName>
    <definedName name="me_TKE">#REF!</definedName>
    <definedName name="me_TOF">#REF!</definedName>
    <definedName name="mean1">#REF!</definedName>
    <definedName name="mean2">#REF!</definedName>
    <definedName name="meanAG">#REF!</definedName>
    <definedName name="meanG">#REF!</definedName>
    <definedName name="Momentum_Resolution">#REF!</definedName>
    <definedName name="MoQ1_int">#REF!</definedName>
    <definedName name="Mp">#REF!</definedName>
    <definedName name="Mq">'[1]Z -&gt; data'!$D$11</definedName>
    <definedName name="Mt">#REF!</definedName>
    <definedName name="name">#REF!</definedName>
    <definedName name="Name_p">#REF!</definedName>
    <definedName name="Name_t">#REF!</definedName>
    <definedName name="offsetX">[1]parameters!$H$26</definedName>
    <definedName name="Opt">#REF!</definedName>
    <definedName name="Option_g">#REF!</definedName>
    <definedName name="Q">#REF!</definedName>
    <definedName name="q_2">#REF!</definedName>
    <definedName name="Qc">#REF!</definedName>
    <definedName name="Qcr">#REF!</definedName>
    <definedName name="Qgr">#REF!</definedName>
    <definedName name="QP_CM">#REF!</definedName>
    <definedName name="radius">[1]parameters!$H$21</definedName>
    <definedName name="Range_option">#REF!</definedName>
    <definedName name="Rbar">#REF!</definedName>
    <definedName name="Rbarrier">#REF!</definedName>
    <definedName name="Rc_">#REF!</definedName>
    <definedName name="re_Brho">#REF!</definedName>
    <definedName name="re_Eloss">#REF!</definedName>
    <definedName name="re_TKE">#REF!</definedName>
    <definedName name="re_TOF">#REF!</definedName>
    <definedName name="relat_PPAC_dE">[1]parameters!#REF!</definedName>
    <definedName name="Rint">#REF!</definedName>
    <definedName name="Rn">#REF!</definedName>
    <definedName name="Ro">#REF!</definedName>
    <definedName name="Rp">#REF!</definedName>
    <definedName name="Rpcharge">#REF!</definedName>
    <definedName name="RRp">#REF!</definedName>
    <definedName name="RRt">#REF!</definedName>
    <definedName name="Rt">#REF!</definedName>
    <definedName name="Rtcharge">#REF!</definedName>
    <definedName name="RtRp">#REF!</definedName>
    <definedName name="se_Brho">#REF!</definedName>
    <definedName name="se_Eloss">#REF!</definedName>
    <definedName name="se_TKE">#REF!</definedName>
    <definedName name="se_TOF">#REF!</definedName>
    <definedName name="se_Z">#REF!</definedName>
    <definedName name="SGcr">#REF!</definedName>
    <definedName name="SGMAR">#REF!</definedName>
    <definedName name="SGMgr1">#REF!</definedName>
    <definedName name="SGMgr2">#REF!</definedName>
    <definedName name="shift">[1]parameters!$D$7</definedName>
    <definedName name="shift_calc">[1]parameters!$H$16</definedName>
    <definedName name="shift2">[1]parameters!$H$7</definedName>
    <definedName name="SI">#REF!</definedName>
    <definedName name="sigma1G">#REF!</definedName>
    <definedName name="sigma1L">#REF!</definedName>
    <definedName name="sigma1R">#REF!</definedName>
    <definedName name="sigma2G">#REF!</definedName>
    <definedName name="sigma2L">#REF!</definedName>
    <definedName name="sigma2R">#REF!</definedName>
    <definedName name="sigmaA_left">#REF!</definedName>
    <definedName name="sigmaA_right">#REF!</definedName>
    <definedName name="sigmaAG">#REF!</definedName>
    <definedName name="sigmaG">#REF!</definedName>
    <definedName name="slope_Brho">[1]parameters!$H$28</definedName>
    <definedName name="slopeX">[1]parameters!$H$25</definedName>
    <definedName name="step">#REF!</definedName>
    <definedName name="stepE">#REF!</definedName>
    <definedName name="straggling">#REF!</definedName>
    <definedName name="target">#REF!</definedName>
    <definedName name="Thickness">#REF!</definedName>
    <definedName name="Thickness_g">#REF!</definedName>
    <definedName name="Thickness_pin">[1]parameters!$D$14</definedName>
    <definedName name="tke_up">#REF!</definedName>
    <definedName name="TOF">#REF!</definedName>
    <definedName name="VC">#REF!</definedName>
    <definedName name="VC_Rbar">#REF!</definedName>
    <definedName name="VC_Rc">#REF!</definedName>
    <definedName name="velocity">#REF!</definedName>
    <definedName name="velocity_2">#REF!</definedName>
    <definedName name="WaveLength">#REF!</definedName>
    <definedName name="weight1">#REF!</definedName>
    <definedName name="weight2">#REF!</definedName>
    <definedName name="X_dispersion">#REF!</definedName>
    <definedName name="X_image_at_target">#REF!</definedName>
    <definedName name="X_magnification___disp.plane">#REF!</definedName>
    <definedName name="Z">#REF!</definedName>
    <definedName name="Z_2">#REF!</definedName>
    <definedName name="Z_Material_pin">[1]parameters!$D$13</definedName>
    <definedName name="Zc">#REF!</definedName>
    <definedName name="Zfragment">#REF!</definedName>
    <definedName name="ZmQ">#REF!</definedName>
    <definedName name="ZmQ_in_g">#REF!</definedName>
    <definedName name="ZmQ_out_g">#REF!</definedName>
    <definedName name="Zp">#REF!</definedName>
    <definedName name="Zparticle">#REF!</definedName>
    <definedName name="Zparticle_g">#REF!</definedName>
    <definedName name="Zt">#REF!</definedName>
    <definedName name="Ztarget">#REF!</definedName>
    <definedName name="Ztarget_g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" l="1"/>
  <c r="A3" i="11" s="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C1" i="11" s="1"/>
  <c r="C2" i="11" s="1"/>
  <c r="C3" i="11" s="1"/>
  <c r="C4" i="11" s="1"/>
  <c r="C5" i="11" s="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A4" i="9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3" i="9"/>
</calcChain>
</file>

<file path=xl/sharedStrings.xml><?xml version="1.0" encoding="utf-8"?>
<sst xmlns="http://schemas.openxmlformats.org/spreadsheetml/2006/main" count="309" uniqueCount="305">
  <si>
    <t>N</t>
  </si>
  <si>
    <t>A/Q</t>
  </si>
  <si>
    <t>Fq</t>
  </si>
  <si>
    <t>B0</t>
  </si>
  <si>
    <t>No.</t>
  </si>
  <si>
    <t>Name</t>
  </si>
  <si>
    <t>Fit</t>
  </si>
  <si>
    <t>Basin</t>
  </si>
  <si>
    <t>MHz</t>
  </si>
  <si>
    <t>T</t>
  </si>
  <si>
    <t xml:space="preserve">Cp(0) </t>
  </si>
  <si>
    <t xml:space="preserve">Cp(1) </t>
  </si>
  <si>
    <t xml:space="preserve">Cp(2) </t>
  </si>
  <si>
    <t xml:space="preserve">Cp(3) </t>
  </si>
  <si>
    <t xml:space="preserve">czp(0) </t>
  </si>
  <si>
    <t xml:space="preserve">czp(1) </t>
  </si>
  <si>
    <t xml:space="preserve">czp(2) </t>
  </si>
  <si>
    <t xml:space="preserve">czp(3) </t>
  </si>
  <si>
    <t xml:space="preserve">cdqn(0) </t>
  </si>
  <si>
    <t xml:space="preserve">cdqn(1) </t>
  </si>
  <si>
    <t xml:space="preserve">cdqn(2) </t>
  </si>
  <si>
    <t xml:space="preserve">cdqn(3) </t>
  </si>
  <si>
    <t xml:space="preserve">cdqp(0) </t>
  </si>
  <si>
    <t xml:space="preserve">cdqp(1) </t>
  </si>
  <si>
    <t xml:space="preserve">cdqp(2) </t>
  </si>
  <si>
    <t xml:space="preserve">cdqp(3) </t>
  </si>
  <si>
    <t xml:space="preserve">cr(0) </t>
  </si>
  <si>
    <t xml:space="preserve">cr(1) </t>
  </si>
  <si>
    <t xml:space="preserve">cr(2) </t>
  </si>
  <si>
    <t xml:space="preserve">cr(3) </t>
  </si>
  <si>
    <t>up</t>
  </si>
  <si>
    <t>un</t>
  </si>
  <si>
    <t>Z</t>
  </si>
  <si>
    <t>Mass</t>
  </si>
  <si>
    <t>Density</t>
  </si>
  <si>
    <t>H</t>
  </si>
  <si>
    <t>He</t>
  </si>
  <si>
    <t>Li</t>
  </si>
  <si>
    <t>Be</t>
  </si>
  <si>
    <t>B</t>
  </si>
  <si>
    <t>C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</si>
  <si>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</si>
  <si>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</si>
  <si>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</si>
  <si>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</si>
  <si>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</si>
  <si>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</si>
  <si>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</si>
  <si>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</si>
  <si>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</si>
  <si>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</si>
  <si>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</si>
  <si>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</si>
  <si>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</si>
  <si>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</si>
  <si>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</si>
  <si>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</si>
  <si>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</si>
  <si>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</si>
  <si>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</si>
  <si>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</si>
  <si>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</si>
  <si>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</si>
  <si>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</si>
  <si>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</si>
  <si>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</si>
  <si>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</si>
  <si>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</si>
  <si>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</si>
  <si>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</si>
  <si>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</si>
  <si>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</si>
  <si>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</si>
  <si>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</si>
  <si>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</si>
  <si>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</si>
  <si>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</si>
  <si>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</si>
  <si>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</si>
  <si>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</si>
  <si>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</si>
  <si>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</si>
  <si>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</si>
  <si>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</si>
  <si>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</si>
  <si>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</si>
  <si>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</si>
  <si>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</si>
  <si>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</si>
  <si>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</si>
  <si>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</si>
  <si>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</si>
  <si>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</si>
  <si>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</si>
  <si>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</si>
  <si>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</si>
  <si>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</si>
  <si>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</si>
  <si>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</si>
  <si>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</si>
  <si>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</si>
  <si>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</si>
  <si>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</si>
  <si>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</si>
  <si>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</si>
  <si>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</si>
  <si>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</si>
  <si>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</si>
  <si>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</si>
  <si>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</si>
  <si>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</si>
  <si>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</si>
  <si>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</si>
  <si>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</si>
  <si>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</si>
  <si>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</si>
  <si>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</si>
  <si>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</si>
  <si>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</si>
  <si>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</si>
  <si>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</si>
  <si>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</si>
  <si>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Ac</t>
  </si>
  <si>
    <t>Th</t>
  </si>
  <si>
    <t>Pa</t>
  </si>
  <si>
    <t>U</t>
  </si>
  <si>
    <t>Np</t>
  </si>
  <si>
    <t>Pu</t>
  </si>
  <si>
    <t>Am</t>
  </si>
  <si>
    <t>Cm</t>
  </si>
  <si>
    <t>Bk</t>
  </si>
  <si>
    <t>Cf</t>
  </si>
  <si>
    <t>Es</t>
  </si>
  <si>
    <t>Fm</t>
  </si>
  <si>
    <t>Md</t>
  </si>
  <si>
    <t>No</t>
  </si>
  <si>
    <t>Lr</t>
  </si>
  <si>
    <t>Rf</t>
  </si>
  <si>
    <t>Db</t>
  </si>
  <si>
    <t>Sg</t>
  </si>
  <si>
    <t>Bh</t>
  </si>
  <si>
    <t>Hs</t>
  </si>
  <si>
    <t>Mt</t>
  </si>
  <si>
    <t>B9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</si>
  <si>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</si>
  <si>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</si>
  <si>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</si>
  <si>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</si>
  <si>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</si>
  <si>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</si>
  <si>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</si>
  <si>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</si>
  <si>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</si>
  <si>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</si>
  <si>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</si>
  <si>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</si>
  <si>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</si>
  <si>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</si>
  <si>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</si>
  <si>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</si>
  <si>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</si>
  <si>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</si>
  <si>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</si>
  <si>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</si>
  <si>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</si>
  <si>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</si>
  <si>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</si>
  <si>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</si>
  <si>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</si>
  <si>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</si>
  <si>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</si>
  <si>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</si>
  <si>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</si>
  <si>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</si>
  <si>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</si>
  <si>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</si>
  <si>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</si>
  <si>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</si>
  <si>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</si>
  <si>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</si>
  <si>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</si>
  <si>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</si>
  <si>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</si>
  <si>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</si>
  <si>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</si>
  <si>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</si>
  <si>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</si>
  <si>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</si>
  <si>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</si>
  <si>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</si>
  <si>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</si>
  <si>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</si>
  <si>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</si>
  <si>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</si>
  <si>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</si>
  <si>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</si>
  <si>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</si>
  <si>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</si>
  <si>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</si>
  <si>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</si>
  <si>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</si>
  <si>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</si>
  <si>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</si>
  <si>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</si>
  <si>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</si>
  <si>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</si>
  <si>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</si>
  <si>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</si>
  <si>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</si>
  <si>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</si>
  <si>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</si>
  <si>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</si>
  <si>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J0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</si>
  <si>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</si>
  <si>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</si>
  <si>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</si>
  <si>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</si>
  <si>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</si>
  <si>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</si>
  <si>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</si>
  <si>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</si>
  <si>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</si>
  <si>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K0</t>
  </si>
  <si>
    <t>Ds</t>
  </si>
  <si>
    <t>Rg</t>
  </si>
  <si>
    <t>Cn</t>
  </si>
  <si>
    <t>Ed</t>
  </si>
  <si>
    <t>Fl</t>
  </si>
  <si>
    <t>Ef</t>
  </si>
  <si>
    <t>Lv</t>
  </si>
  <si>
    <t>Eh</t>
  </si>
  <si>
    <t>Ei</t>
  </si>
  <si>
    <r>
      <rPr>
        <b/>
        <sz val="10"/>
        <rFont val="Arial"/>
        <family val="2"/>
      </rPr>
      <t xml:space="preserve">A1900_R_Dipole </t>
    </r>
    <r>
      <rPr>
        <sz val="10"/>
        <rFont val="Arial"/>
        <family val="2"/>
      </rPr>
      <t>( N of dipole,B_field )</t>
    </r>
  </si>
  <si>
    <r>
      <rPr>
        <b/>
        <sz val="10"/>
        <rFont val="Arial"/>
        <family val="2"/>
      </rPr>
      <t xml:space="preserve">A1900_Br_Dipole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N of dipole,B_field )</t>
    </r>
  </si>
  <si>
    <r>
      <rPr>
        <b/>
        <sz val="10"/>
        <rFont val="Arial"/>
        <family val="2"/>
      </rPr>
      <t>Beta2Brho</t>
    </r>
    <r>
      <rPr>
        <sz val="10"/>
        <rFont val="Arial"/>
        <family val="2"/>
      </rPr>
      <t xml:space="preserve"> ( beta, Mass, Q )</t>
    </r>
  </si>
  <si>
    <r>
      <rPr>
        <b/>
        <sz val="10"/>
        <rFont val="Arial"/>
        <family val="2"/>
      </rPr>
      <t xml:space="preserve">Beta2Energy </t>
    </r>
    <r>
      <rPr>
        <sz val="10"/>
        <rFont val="Arial"/>
        <family val="2"/>
      </rPr>
      <t>( beta )</t>
    </r>
  </si>
  <si>
    <r>
      <rPr>
        <b/>
        <sz val="10"/>
        <rFont val="Arial"/>
        <family val="2"/>
      </rPr>
      <t>Beta2Gamma</t>
    </r>
    <r>
      <rPr>
        <sz val="10"/>
        <rFont val="Arial"/>
        <family val="2"/>
      </rPr>
      <t xml:space="preserve"> ( beta )</t>
    </r>
  </si>
  <si>
    <r>
      <rPr>
        <b/>
        <sz val="10"/>
        <rFont val="Arial"/>
        <family val="2"/>
      </rPr>
      <t>Brho2Beta</t>
    </r>
    <r>
      <rPr>
        <sz val="10"/>
        <rFont val="Arial"/>
        <family val="2"/>
      </rPr>
      <t xml:space="preserve"> ( Brho, mass, Q )</t>
    </r>
  </si>
  <si>
    <r>
      <rPr>
        <b/>
        <sz val="10"/>
        <rFont val="Arial"/>
        <family val="2"/>
      </rPr>
      <t>Brho2Energy</t>
    </r>
    <r>
      <rPr>
        <sz val="10"/>
        <rFont val="Arial"/>
        <family val="2"/>
      </rPr>
      <t xml:space="preserve"> ( Brho, Mass, q)</t>
    </r>
  </si>
  <si>
    <r>
      <rPr>
        <b/>
        <sz val="10"/>
        <rFont val="Arial"/>
        <family val="2"/>
      </rPr>
      <t>Brho2Momentum</t>
    </r>
    <r>
      <rPr>
        <sz val="10"/>
        <rFont val="Arial"/>
        <family val="2"/>
      </rPr>
      <t xml:space="preserve"> ( Brho, q )</t>
    </r>
  </si>
  <si>
    <r>
      <rPr>
        <b/>
        <sz val="10"/>
        <rFont val="Arial"/>
        <family val="2"/>
      </rPr>
      <t>BrhoEnergy2Q</t>
    </r>
    <r>
      <rPr>
        <sz val="10"/>
        <rFont val="Arial"/>
        <family val="2"/>
      </rPr>
      <t xml:space="preserve"> ( Brho, Energy, Mass)</t>
    </r>
  </si>
  <si>
    <r>
      <rPr>
        <b/>
        <sz val="10"/>
        <rFont val="Arial"/>
        <family val="2"/>
      </rPr>
      <t>Energy2Beta</t>
    </r>
    <r>
      <rPr>
        <sz val="10"/>
        <rFont val="Arial"/>
        <family val="2"/>
      </rPr>
      <t xml:space="preserve"> ( Energy)</t>
    </r>
  </si>
  <si>
    <r>
      <rPr>
        <b/>
        <sz val="10"/>
        <rFont val="Arial"/>
        <family val="2"/>
      </rPr>
      <t>Energy2Brho</t>
    </r>
    <r>
      <rPr>
        <sz val="10"/>
        <rFont val="Arial"/>
        <family val="2"/>
      </rPr>
      <t xml:space="preserve"> ( Energy, Mass, Q )</t>
    </r>
  </si>
  <si>
    <r>
      <rPr>
        <b/>
        <sz val="10"/>
        <rFont val="Arial"/>
        <family val="2"/>
      </rPr>
      <t>Energy2Gamma</t>
    </r>
    <r>
      <rPr>
        <sz val="10"/>
        <rFont val="Arial"/>
        <family val="2"/>
      </rPr>
      <t xml:space="preserve"> ( Energy )</t>
    </r>
  </si>
  <si>
    <r>
      <rPr>
        <b/>
        <sz val="10"/>
        <rFont val="Arial"/>
        <family val="2"/>
      </rPr>
      <t>Energy2Momentum</t>
    </r>
    <r>
      <rPr>
        <sz val="10"/>
        <rFont val="Arial"/>
        <family val="2"/>
      </rPr>
      <t xml:space="preserve"> ( Energy, Mass )</t>
    </r>
  </si>
  <si>
    <r>
      <rPr>
        <b/>
        <sz val="10"/>
        <rFont val="Arial"/>
        <family val="2"/>
      </rPr>
      <t>EPAX215</t>
    </r>
    <r>
      <rPr>
        <sz val="10"/>
        <rFont val="Arial"/>
        <family val="2"/>
      </rPr>
      <t xml:space="preserve"> ( Abeam, Zbeam, Atarget, Ztarget, Afrag, Zfrag )</t>
    </r>
  </si>
  <si>
    <r>
      <rPr>
        <b/>
        <sz val="10"/>
        <rFont val="Arial"/>
        <family val="2"/>
      </rPr>
      <t>EPAX301</t>
    </r>
    <r>
      <rPr>
        <sz val="10"/>
        <rFont val="Arial"/>
        <family val="2"/>
      </rPr>
      <t xml:space="preserve"> ( Abeam, Zbeam, Atarget, Ztarget, Afrag, Zfrag )</t>
    </r>
  </si>
  <si>
    <r>
      <rPr>
        <b/>
        <sz val="10"/>
        <rFont val="Arial"/>
        <family val="2"/>
      </rPr>
      <t>Erho2Beta</t>
    </r>
    <r>
      <rPr>
        <sz val="10"/>
        <rFont val="Arial"/>
        <family val="2"/>
      </rPr>
      <t xml:space="preserve"> ( Erho, Mass,Q )</t>
    </r>
  </si>
  <si>
    <r>
      <rPr>
        <b/>
        <sz val="10"/>
        <rFont val="Arial"/>
        <family val="2"/>
      </rPr>
      <t>Erho2Brho</t>
    </r>
    <r>
      <rPr>
        <sz val="10"/>
        <rFont val="Arial"/>
        <family val="2"/>
      </rPr>
      <t xml:space="preserve"> ( Erho, Mass,Q )</t>
    </r>
  </si>
  <si>
    <r>
      <rPr>
        <b/>
        <sz val="10"/>
        <rFont val="Arial"/>
        <family val="2"/>
      </rPr>
      <t>Erho2Energy</t>
    </r>
    <r>
      <rPr>
        <sz val="10"/>
        <rFont val="Arial"/>
        <family val="2"/>
      </rPr>
      <t xml:space="preserve"> ( Erho, Mass,Q )</t>
    </r>
  </si>
  <si>
    <r>
      <rPr>
        <b/>
        <sz val="10"/>
        <rFont val="Arial"/>
        <family val="2"/>
      </rPr>
      <t>Find_Line</t>
    </r>
    <r>
      <rPr>
        <sz val="10"/>
        <rFont val="Arial"/>
        <family val="2"/>
      </rPr>
      <t xml:space="preserve"> ( x1, y1, x2, y2, X)</t>
    </r>
  </si>
  <si>
    <r>
      <rPr>
        <b/>
        <sz val="10"/>
        <rFont val="Arial"/>
        <family val="2"/>
      </rPr>
      <t xml:space="preserve">Find_Parabola </t>
    </r>
    <r>
      <rPr>
        <sz val="10"/>
        <rFont val="Arial"/>
        <family val="2"/>
      </rPr>
      <t>( x1, y1, x2, y2, x3, y3, X )</t>
    </r>
  </si>
  <si>
    <r>
      <rPr>
        <b/>
        <sz val="10"/>
        <rFont val="Arial"/>
        <family val="2"/>
      </rPr>
      <t>Gamma2Beta</t>
    </r>
    <r>
      <rPr>
        <sz val="10"/>
        <rFont val="Arial"/>
        <family val="2"/>
      </rPr>
      <t xml:space="preserve"> ( gamma )</t>
    </r>
  </si>
  <si>
    <r>
      <rPr>
        <b/>
        <sz val="10"/>
        <rFont val="Arial"/>
        <family val="2"/>
      </rPr>
      <t>Gamma2Energy</t>
    </r>
    <r>
      <rPr>
        <sz val="10"/>
        <rFont val="Arial"/>
        <family val="2"/>
      </rPr>
      <t xml:space="preserve"> ( gamma )</t>
    </r>
  </si>
  <si>
    <r>
      <rPr>
        <b/>
        <sz val="10"/>
        <rFont val="Arial"/>
        <family val="2"/>
      </rPr>
      <t>Interpolate2</t>
    </r>
    <r>
      <rPr>
        <sz val="10"/>
        <rFont val="Arial"/>
        <family val="2"/>
      </rPr>
      <t xml:space="preserve"> ( X_array, Y_array, X )</t>
    </r>
  </si>
  <si>
    <r>
      <rPr>
        <b/>
        <sz val="10"/>
        <rFont val="Arial"/>
        <family val="2"/>
      </rPr>
      <t>Interpolate3</t>
    </r>
    <r>
      <rPr>
        <sz val="10"/>
        <rFont val="Arial"/>
        <family val="2"/>
      </rPr>
      <t xml:space="preserve"> ( X_array, Y_array, X )</t>
    </r>
  </si>
  <si>
    <r>
      <rPr>
        <b/>
        <sz val="10"/>
        <rFont val="Arial"/>
        <family val="2"/>
      </rPr>
      <t>Mass</t>
    </r>
    <r>
      <rPr>
        <sz val="10"/>
        <rFont val="Arial"/>
        <family val="2"/>
      </rPr>
      <t xml:space="preserve"> (Z)</t>
    </r>
  </si>
  <si>
    <r>
      <rPr>
        <b/>
        <sz val="10"/>
        <rFont val="Arial"/>
        <family val="2"/>
      </rPr>
      <t>MatricesMult</t>
    </r>
    <r>
      <rPr>
        <sz val="10"/>
        <rFont val="Arial"/>
        <family val="2"/>
      </rPr>
      <t xml:space="preserve"> ( Matrix1, Matrix2, Row, Column )</t>
    </r>
  </si>
  <si>
    <r>
      <rPr>
        <b/>
        <sz val="10"/>
        <rFont val="Arial"/>
        <family val="2"/>
      </rPr>
      <t>Matrix2OrderVectorMult</t>
    </r>
    <r>
      <rPr>
        <sz val="10"/>
        <rFont val="Arial"/>
        <family val="2"/>
      </rPr>
      <t xml:space="preserve">( Matrix, Vector ) </t>
    </r>
  </si>
  <si>
    <r>
      <rPr>
        <b/>
        <sz val="10"/>
        <rFont val="Arial"/>
        <family val="2"/>
      </rPr>
      <t>MatrixElement</t>
    </r>
    <r>
      <rPr>
        <sz val="10"/>
        <rFont val="Arial"/>
        <family val="2"/>
      </rPr>
      <t xml:space="preserve"> ( Matrix, Row, Column )</t>
    </r>
  </si>
  <si>
    <r>
      <rPr>
        <b/>
        <sz val="10"/>
        <rFont val="Arial"/>
        <family val="2"/>
      </rPr>
      <t>MatrixVectorMult</t>
    </r>
    <r>
      <rPr>
        <sz val="10"/>
        <rFont val="Arial"/>
        <family val="2"/>
      </rPr>
      <t xml:space="preserve"> ( Matrix, Vector, Row )</t>
    </r>
  </si>
  <si>
    <r>
      <rPr>
        <b/>
        <sz val="10"/>
        <rFont val="Arial"/>
        <family val="2"/>
      </rPr>
      <t>MatrixVectorSumSquare</t>
    </r>
    <r>
      <rPr>
        <sz val="10"/>
        <rFont val="Arial"/>
        <family val="2"/>
      </rPr>
      <t xml:space="preserve"> ( Matrix, Vector, Row )</t>
    </r>
  </si>
  <si>
    <r>
      <rPr>
        <b/>
        <sz val="10"/>
        <rFont val="Arial"/>
        <family val="2"/>
      </rPr>
      <t xml:space="preserve">Mg2Mkm </t>
    </r>
    <r>
      <rPr>
        <sz val="10"/>
        <rFont val="Arial"/>
        <family val="2"/>
      </rPr>
      <t>( ThickMg, Z )</t>
    </r>
  </si>
  <si>
    <r>
      <rPr>
        <b/>
        <sz val="10"/>
        <rFont val="Arial"/>
        <family val="2"/>
      </rPr>
      <t xml:space="preserve">Mkm2Mg </t>
    </r>
    <r>
      <rPr>
        <sz val="10"/>
        <rFont val="Arial"/>
        <family val="2"/>
      </rPr>
      <t>( ThickMkm, Z )</t>
    </r>
  </si>
  <si>
    <r>
      <rPr>
        <b/>
        <sz val="10"/>
        <rFont val="Arial"/>
        <family val="2"/>
      </rPr>
      <t>Momentum2Brho</t>
    </r>
    <r>
      <rPr>
        <sz val="10"/>
        <rFont val="Arial"/>
        <family val="2"/>
      </rPr>
      <t xml:space="preserve"> ( Momentum, Q )</t>
    </r>
  </si>
  <si>
    <r>
      <rPr>
        <b/>
        <sz val="10"/>
        <rFont val="Arial"/>
        <family val="2"/>
      </rPr>
      <t>Momentum2Energy</t>
    </r>
    <r>
      <rPr>
        <sz val="10"/>
        <rFont val="Arial"/>
        <family val="2"/>
      </rPr>
      <t xml:space="preserve"> ( Momentum, Mass )</t>
    </r>
  </si>
  <si>
    <r>
      <rPr>
        <b/>
        <sz val="10"/>
        <rFont val="Arial"/>
        <family val="2"/>
      </rPr>
      <t>MyGauss</t>
    </r>
    <r>
      <rPr>
        <sz val="10"/>
        <rFont val="Arial"/>
        <family val="2"/>
      </rPr>
      <t xml:space="preserve"> ( X, X_mean, Sigma)</t>
    </r>
  </si>
  <si>
    <r>
      <rPr>
        <b/>
        <sz val="10"/>
        <rFont val="Arial"/>
        <family val="2"/>
      </rPr>
      <t>MyGaussAsym</t>
    </r>
    <r>
      <rPr>
        <sz val="10"/>
        <rFont val="Arial"/>
        <family val="2"/>
      </rPr>
      <t xml:space="preserve"> ( X, X_peak, Sigma, Asymmetry )</t>
    </r>
  </si>
  <si>
    <r>
      <rPr>
        <b/>
        <sz val="10"/>
        <rFont val="Arial"/>
        <family val="2"/>
      </rPr>
      <t>NumberEvents</t>
    </r>
    <r>
      <rPr>
        <sz val="10"/>
        <rFont val="Arial"/>
        <family val="2"/>
      </rPr>
      <t xml:space="preserve"> ( A_target, CS (mb), Flux , TargetThickness</t>
    </r>
    <r>
      <rPr>
        <sz val="7"/>
        <rFont val="Arial"/>
        <family val="2"/>
      </rPr>
      <t xml:space="preserve"> (mg/cm2)</t>
    </r>
    <r>
      <rPr>
        <sz val="10"/>
        <rFont val="Arial"/>
        <family val="2"/>
      </rPr>
      <t xml:space="preserve"> )</t>
    </r>
  </si>
  <si>
    <r>
      <rPr>
        <b/>
        <sz val="10"/>
        <rFont val="Arial"/>
        <family val="2"/>
      </rPr>
      <t xml:space="preserve">S_Accident </t>
    </r>
    <r>
      <rPr>
        <sz val="10"/>
        <rFont val="Arial"/>
        <family val="2"/>
      </rPr>
      <t>( Average, Sigma )</t>
    </r>
  </si>
  <si>
    <r>
      <rPr>
        <b/>
        <sz val="10"/>
        <rFont val="Arial"/>
        <family val="2"/>
      </rPr>
      <t>S_AreaXY</t>
    </r>
    <r>
      <rPr>
        <sz val="10"/>
        <rFont val="Arial"/>
        <family val="2"/>
      </rPr>
      <t xml:space="preserve"> ( X_array, Y_array )</t>
    </r>
  </si>
  <si>
    <r>
      <rPr>
        <b/>
        <sz val="10"/>
        <rFont val="Arial"/>
        <family val="2"/>
      </rPr>
      <t>S_AreaXYwithError</t>
    </r>
    <r>
      <rPr>
        <sz val="10"/>
        <rFont val="Arial"/>
        <family val="2"/>
      </rPr>
      <t xml:space="preserve"> ( X_array, Y_array, Yerror_array, Ref [0-Area/1-dArea] )</t>
    </r>
  </si>
  <si>
    <r>
      <rPr>
        <b/>
        <sz val="10"/>
        <rFont val="Arial"/>
        <family val="2"/>
      </rPr>
      <t>S_AssymXY</t>
    </r>
    <r>
      <rPr>
        <sz val="10"/>
        <rFont val="Arial"/>
        <family val="2"/>
      </rPr>
      <t xml:space="preserve"> ( Xmean(XY), Sigma(XY), X_array, Y_array )</t>
    </r>
  </si>
  <si>
    <r>
      <rPr>
        <b/>
        <sz val="10"/>
        <rFont val="Arial"/>
        <family val="2"/>
      </rPr>
      <t xml:space="preserve">S_AverageXwithError </t>
    </r>
    <r>
      <rPr>
        <sz val="10"/>
        <rFont val="Arial"/>
        <family val="2"/>
      </rPr>
      <t>( X_array, Xerror_array, Ref [0-Area/1-dArea] )</t>
    </r>
  </si>
  <si>
    <r>
      <rPr>
        <b/>
        <sz val="10"/>
        <rFont val="Arial"/>
        <family val="2"/>
      </rPr>
      <t>S_AverageXY</t>
    </r>
    <r>
      <rPr>
        <sz val="10"/>
        <rFont val="Arial"/>
        <family val="2"/>
      </rPr>
      <t xml:space="preserve"> ( X_array, Y_array )</t>
    </r>
  </si>
  <si>
    <r>
      <rPr>
        <b/>
        <sz val="10"/>
        <rFont val="Arial"/>
        <family val="2"/>
      </rPr>
      <t xml:space="preserve">S_AverageXY_Error </t>
    </r>
    <r>
      <rPr>
        <sz val="10"/>
        <rFont val="Arial"/>
        <family val="2"/>
      </rPr>
      <t>( X_array, Y_array )</t>
    </r>
  </si>
  <si>
    <r>
      <rPr>
        <b/>
        <sz val="10"/>
        <rFont val="Arial"/>
        <family val="2"/>
      </rPr>
      <t>S_AverageXY_Error_instr</t>
    </r>
    <r>
      <rPr>
        <sz val="10"/>
        <rFont val="Arial"/>
        <family val="2"/>
      </rPr>
      <t xml:space="preserve"> ( X_array, Y_array, Error_array )</t>
    </r>
  </si>
  <si>
    <r>
      <rPr>
        <b/>
        <sz val="10"/>
        <rFont val="Arial"/>
        <family val="2"/>
      </rPr>
      <t>S_chi_sq</t>
    </r>
    <r>
      <rPr>
        <sz val="10"/>
        <rFont val="Arial"/>
        <family val="2"/>
      </rPr>
      <t xml:space="preserve">  ( Experimental value,  Calculated value )</t>
    </r>
  </si>
  <si>
    <r>
      <rPr>
        <b/>
        <sz val="10"/>
        <rFont val="Arial"/>
        <family val="2"/>
      </rPr>
      <t>S_chi_sq_sum</t>
    </r>
    <r>
      <rPr>
        <sz val="10"/>
        <rFont val="Arial"/>
        <family val="2"/>
      </rPr>
      <t xml:space="preserve">  ( Experimental array,  Calculated array )</t>
    </r>
  </si>
  <si>
    <r>
      <rPr>
        <b/>
        <sz val="10"/>
        <rFont val="Arial"/>
        <family val="2"/>
      </rPr>
      <t xml:space="preserve">S_rounded_rectangle </t>
    </r>
    <r>
      <rPr>
        <sz val="10"/>
        <rFont val="Arial"/>
        <family val="2"/>
      </rPr>
      <t>( X, left Boundary, Right Boundary, Sigma)</t>
    </r>
  </si>
  <si>
    <r>
      <rPr>
        <b/>
        <sz val="10"/>
        <rFont val="Arial"/>
        <family val="2"/>
      </rPr>
      <t xml:space="preserve">S_SigmaXY_error </t>
    </r>
    <r>
      <rPr>
        <sz val="10"/>
        <rFont val="Arial"/>
        <family val="2"/>
      </rPr>
      <t>( X_array, Y_array )</t>
    </r>
  </si>
  <si>
    <r>
      <rPr>
        <b/>
        <sz val="10"/>
        <rFont val="Arial"/>
        <family val="2"/>
      </rPr>
      <t xml:space="preserve">S_SigmaXY_Error_instr </t>
    </r>
    <r>
      <rPr>
        <sz val="10"/>
        <rFont val="Arial"/>
        <family val="2"/>
      </rPr>
      <t>( X_array, Y_array, E_array )</t>
    </r>
  </si>
  <si>
    <r>
      <rPr>
        <b/>
        <sz val="10"/>
        <rFont val="Arial"/>
        <family val="2"/>
      </rPr>
      <t>Show_Element</t>
    </r>
    <r>
      <rPr>
        <sz val="10"/>
        <rFont val="Arial"/>
        <family val="2"/>
      </rPr>
      <t xml:space="preserve"> ( Z_element )</t>
    </r>
  </si>
  <si>
    <r>
      <t>S</t>
    </r>
    <r>
      <rPr>
        <b/>
        <sz val="10"/>
        <rFont val="Arial"/>
        <family val="2"/>
      </rPr>
      <t xml:space="preserve">how_Z </t>
    </r>
    <r>
      <rPr>
        <sz val="10"/>
        <rFont val="Arial"/>
        <family val="2"/>
      </rPr>
      <t>( Name of element )</t>
    </r>
  </si>
  <si>
    <r>
      <rPr>
        <b/>
        <sz val="10"/>
        <rFont val="Arial"/>
        <family val="2"/>
      </rPr>
      <t>ShowOption</t>
    </r>
    <r>
      <rPr>
        <sz val="10"/>
        <rFont val="Arial"/>
        <family val="2"/>
      </rPr>
      <t xml:space="preserve"> ( Option )</t>
    </r>
  </si>
  <si>
    <r>
      <rPr>
        <b/>
        <sz val="10"/>
        <rFont val="Arial"/>
        <family val="2"/>
      </rPr>
      <t>FRACS</t>
    </r>
    <r>
      <rPr>
        <sz val="10"/>
        <rFont val="Arial"/>
        <family val="2"/>
      </rPr>
      <t xml:space="preserve"> ( Abeam, Zbeam, Atarget, Ztarget, Afrag, Zfrag, Ebeam )</t>
    </r>
  </si>
  <si>
    <r>
      <rPr>
        <b/>
        <strike/>
        <sz val="10"/>
        <rFont val="Arial"/>
        <family val="2"/>
      </rPr>
      <t>Charge_dQ</t>
    </r>
    <r>
      <rPr>
        <strike/>
        <sz val="10"/>
        <rFont val="Arial"/>
        <family val="2"/>
      </rPr>
      <t xml:space="preserve"> ( Energy, Z_particle, Z_target, Option )</t>
    </r>
  </si>
  <si>
    <r>
      <rPr>
        <b/>
        <strike/>
        <sz val="10"/>
        <rFont val="Arial"/>
        <family val="2"/>
      </rPr>
      <t>Charge_Qmean</t>
    </r>
    <r>
      <rPr>
        <strike/>
        <sz val="10"/>
        <rFont val="Arial"/>
        <family val="2"/>
      </rPr>
      <t xml:space="preserve"> ( Energy, Z_particle, Z_target, Option )</t>
    </r>
  </si>
  <si>
    <r>
      <rPr>
        <b/>
        <strike/>
        <sz val="10"/>
        <rFont val="Arial"/>
        <family val="2"/>
      </rPr>
      <t>ChargeState</t>
    </r>
    <r>
      <rPr>
        <strike/>
        <sz val="10"/>
        <rFont val="Arial"/>
        <family val="2"/>
      </rPr>
      <t xml:space="preserve"> ( Energy, Z_particle, Z_target, Z-q )</t>
    </r>
  </si>
  <si>
    <r>
      <rPr>
        <b/>
        <strike/>
        <sz val="10"/>
        <rFont val="Arial"/>
        <family val="2"/>
      </rPr>
      <t>ChargeState_option</t>
    </r>
    <r>
      <rPr>
        <strike/>
        <sz val="10"/>
        <rFont val="Arial"/>
        <family val="2"/>
      </rPr>
      <t xml:space="preserve"> ( Energy, Z_particle, Z_target, Z-q, Option )</t>
    </r>
  </si>
  <si>
    <r>
      <rPr>
        <b/>
        <strike/>
        <sz val="10"/>
        <rFont val="Arial"/>
        <family val="2"/>
      </rPr>
      <t xml:space="preserve">EnergyLossInMatter </t>
    </r>
    <r>
      <rPr>
        <strike/>
        <sz val="10"/>
        <rFont val="Arial"/>
        <family val="2"/>
      </rPr>
      <t>( Z_particle, A_particle, Energy, Z_target , Thickness (mg/cm2) )</t>
    </r>
  </si>
  <si>
    <r>
      <rPr>
        <b/>
        <strike/>
        <sz val="10"/>
        <rFont val="Arial"/>
        <family val="2"/>
      </rPr>
      <t xml:space="preserve">EnergyLossInMatter_option </t>
    </r>
    <r>
      <rPr>
        <strike/>
        <sz val="10"/>
        <rFont val="Arial"/>
        <family val="2"/>
      </rPr>
      <t>( Z_particle, A_particle, Energy, Z_target , Thick (mg/cm2), Option )</t>
    </r>
  </si>
  <si>
    <r>
      <rPr>
        <b/>
        <strike/>
        <sz val="10"/>
        <rFont val="Arial"/>
        <family val="2"/>
      </rPr>
      <t>MassIon</t>
    </r>
    <r>
      <rPr>
        <strike/>
        <sz val="10"/>
        <rFont val="Arial"/>
        <family val="2"/>
      </rPr>
      <t xml:space="preserve"> ( Z, A, q )</t>
    </r>
  </si>
  <si>
    <r>
      <rPr>
        <b/>
        <strike/>
        <sz val="10"/>
        <rFont val="Arial"/>
        <family val="2"/>
      </rPr>
      <t>MassIsotope</t>
    </r>
    <r>
      <rPr>
        <strike/>
        <sz val="10"/>
        <rFont val="Arial"/>
        <family val="2"/>
      </rPr>
      <t xml:space="preserve"> ( Z, A )</t>
    </r>
  </si>
  <si>
    <r>
      <rPr>
        <b/>
        <strike/>
        <sz val="10"/>
        <rFont val="Arial"/>
        <family val="2"/>
      </rPr>
      <t>RangeInMatter</t>
    </r>
    <r>
      <rPr>
        <strike/>
        <sz val="10"/>
        <rFont val="Arial"/>
        <family val="2"/>
      </rPr>
      <t xml:space="preserve"> ( Zparticle, Aparticle, Energy, Ztarget )</t>
    </r>
  </si>
  <si>
    <r>
      <rPr>
        <b/>
        <strike/>
        <sz val="10"/>
        <rFont val="Arial"/>
        <family val="2"/>
      </rPr>
      <t>RangeInMatter_optiuon</t>
    </r>
    <r>
      <rPr>
        <strike/>
        <sz val="10"/>
        <rFont val="Arial"/>
        <family val="2"/>
      </rPr>
      <t xml:space="preserve"> ( Zparticle, Aparticle, Energy, Ztarget, Range_option )</t>
    </r>
  </si>
  <si>
    <r>
      <rPr>
        <b/>
        <strike/>
        <sz val="10"/>
        <rFont val="Arial"/>
        <family val="2"/>
      </rPr>
      <t xml:space="preserve">StoppingPower </t>
    </r>
    <r>
      <rPr>
        <strike/>
        <sz val="10"/>
        <rFont val="Arial"/>
        <family val="2"/>
      </rPr>
      <t>( Z_particle, A_particle, Energy, Z_target, Option )</t>
    </r>
  </si>
  <si>
    <r>
      <rPr>
        <b/>
        <strike/>
        <sz val="10"/>
        <rFont val="Arial"/>
        <family val="2"/>
      </rPr>
      <t xml:space="preserve">StragglingEnergy </t>
    </r>
    <r>
      <rPr>
        <strike/>
        <sz val="10"/>
        <rFont val="Arial"/>
        <family val="2"/>
      </rPr>
      <t>( Z_particle, A_particle, Energy, Z_target, Thickness )</t>
    </r>
  </si>
  <si>
    <r>
      <rPr>
        <b/>
        <strike/>
        <sz val="10"/>
        <rFont val="Arial"/>
        <family val="2"/>
      </rPr>
      <t xml:space="preserve">StragglingRange </t>
    </r>
    <r>
      <rPr>
        <strike/>
        <sz val="10"/>
        <rFont val="Arial"/>
        <family val="2"/>
      </rPr>
      <t>( Z_particle, A_particle, Energy, Z_target )</t>
    </r>
  </si>
  <si>
    <r>
      <rPr>
        <b/>
        <strike/>
        <sz val="10"/>
        <rFont val="Arial"/>
        <family val="2"/>
      </rPr>
      <t>GlobalCode</t>
    </r>
    <r>
      <rPr>
        <strike/>
        <sz val="10"/>
        <rFont val="Arial"/>
        <family val="2"/>
      </rPr>
      <t xml:space="preserve"> </t>
    </r>
    <r>
      <rPr>
        <strike/>
        <sz val="9"/>
        <rFont val="Arial"/>
        <family val="2"/>
      </rPr>
      <t>( [Z-q]_out, Ab, Zb, [Z-q]_in, Energy, At, Zt, Thick (mg/cm2)</t>
    </r>
    <r>
      <rPr>
        <strike/>
        <sz val="10"/>
        <rFont val="Arial"/>
        <family val="2"/>
      </rPr>
      <t>, Option, Fast )</t>
    </r>
  </si>
  <si>
    <r>
      <rPr>
        <b/>
        <strike/>
        <sz val="10"/>
        <rFont val="Arial"/>
        <family val="2"/>
      </rPr>
      <t xml:space="preserve">SchiwietzGas </t>
    </r>
    <r>
      <rPr>
        <strike/>
        <sz val="10"/>
        <rFont val="Arial"/>
        <family val="2"/>
      </rPr>
      <t>( Energy, Z_particle, Z_target, Z-q )</t>
    </r>
  </si>
  <si>
    <r>
      <rPr>
        <b/>
        <sz val="10"/>
        <rFont val="Arial"/>
        <family val="2"/>
      </rPr>
      <t>S_SigmaXY</t>
    </r>
    <r>
      <rPr>
        <sz val="10"/>
        <rFont val="Arial"/>
        <family val="2"/>
      </rPr>
      <t>+D26:D62( XmeanXY, X_array, Y_array )</t>
    </r>
  </si>
  <si>
    <r>
      <rPr>
        <b/>
        <sz val="10"/>
        <rFont val="Arial"/>
        <family val="2"/>
      </rPr>
      <t>S_SigmaXY_left</t>
    </r>
    <r>
      <rPr>
        <sz val="10"/>
        <rFont val="Arial"/>
        <family val="2"/>
      </rPr>
      <t xml:space="preserve"> ( XmeanXY, X_array, Y_array )</t>
    </r>
  </si>
  <si>
    <r>
      <rPr>
        <b/>
        <sz val="10"/>
        <rFont val="Arial"/>
        <family val="2"/>
      </rPr>
      <t xml:space="preserve">S_SigmaXY_right </t>
    </r>
    <r>
      <rPr>
        <sz val="10"/>
        <rFont val="Arial"/>
        <family val="2"/>
      </rPr>
      <t>( XmeanXY, X_array, Y_array )</t>
    </r>
  </si>
  <si>
    <r>
      <rPr>
        <b/>
        <sz val="10"/>
        <rFont val="Arial"/>
        <family val="2"/>
      </rPr>
      <t>S_MedianXY</t>
    </r>
    <r>
      <rPr>
        <sz val="10"/>
        <rFont val="Arial"/>
        <family val="2"/>
      </rPr>
      <t xml:space="preserve"> ( X_array, Y_array 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</si>
</sst>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15">
    <font>
      <sz val="10"/>
      <name val="Arial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NTHarmonica"/>
      <charset val="204"/>
    </font>
    <font>
      <b/>
      <sz val="10"/>
      <color indexed="10"/>
      <name val="NTHarmonica"/>
      <charset val="204"/>
    </font>
    <font>
      <i/>
      <sz val="8"/>
      <name val="NTHarmonica"/>
      <charset val="204"/>
    </font>
    <font>
      <b/>
      <i/>
      <sz val="8"/>
      <name val="NTHarmonica"/>
      <charset val="204"/>
    </font>
    <font>
      <b/>
      <sz val="10"/>
      <name val="NTHarmonica"/>
      <charset val="204"/>
    </font>
    <font>
      <sz val="10"/>
      <name val="Arial"/>
      <family val="2"/>
    </font>
    <font>
      <sz val="7"/>
      <name val="Arial"/>
      <family val="2"/>
    </font>
    <font>
      <sz val="8"/>
      <color theme="4" tint="-0.249977111117893"/>
      <name val="Arial"/>
      <family val="2"/>
    </font>
    <font>
      <strike/>
      <sz val="10"/>
      <name val="Arial"/>
      <family val="2"/>
    </font>
    <font>
      <b/>
      <strike/>
      <sz val="10"/>
      <name val="Arial"/>
      <family val="2"/>
    </font>
    <font>
      <strike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0" fontId="9" fillId="0" borderId="0"/>
    <xf numFmtId="0" fontId="1" fillId="0" borderId="0"/>
  </cellStyleXfs>
  <cellXfs count="30">
    <xf numFmtId="0" fontId="0" fillId="0" borderId="0" xfId="0"/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1" fontId="0" fillId="0" borderId="0" xfId="0" applyNumberFormat="1"/>
    <xf numFmtId="10" fontId="0" fillId="0" borderId="0" xfId="0" applyNumberFormat="1"/>
    <xf numFmtId="0" fontId="5" fillId="2" borderId="0" xfId="1" applyFont="1" applyFill="1" applyAlignment="1">
      <alignment horizontal="center"/>
    </xf>
    <xf numFmtId="0" fontId="5" fillId="3" borderId="1" xfId="1" applyFont="1" applyFill="1" applyBorder="1" applyAlignment="1">
      <alignment horizontal="center"/>
    </xf>
    <xf numFmtId="0" fontId="6" fillId="0" borderId="0" xfId="1" applyFont="1" applyAlignment="1">
      <alignment horizontal="center"/>
    </xf>
    <xf numFmtId="0" fontId="7" fillId="3" borderId="1" xfId="1" applyFont="1" applyFill="1" applyBorder="1" applyAlignment="1">
      <alignment horizontal="center"/>
    </xf>
    <xf numFmtId="0" fontId="4" fillId="0" borderId="0" xfId="1" applyAlignment="1">
      <alignment horizontal="center"/>
    </xf>
    <xf numFmtId="2" fontId="8" fillId="3" borderId="1" xfId="1" applyNumberFormat="1" applyFont="1" applyFill="1" applyBorder="1" applyAlignment="1">
      <alignment horizontal="center"/>
    </xf>
    <xf numFmtId="165" fontId="4" fillId="0" borderId="0" xfId="1" applyNumberFormat="1" applyAlignment="1">
      <alignment horizontal="center"/>
    </xf>
    <xf numFmtId="0" fontId="4" fillId="0" borderId="0" xfId="1"/>
    <xf numFmtId="0" fontId="8" fillId="3" borderId="1" xfId="1" applyFont="1" applyFill="1" applyBorder="1"/>
    <xf numFmtId="0" fontId="8" fillId="4" borderId="0" xfId="0" applyFont="1" applyFill="1" applyAlignment="1">
      <alignment horizontal="center"/>
    </xf>
    <xf numFmtId="0" fontId="0" fillId="2" borderId="0" xfId="0" applyFill="1"/>
    <xf numFmtId="166" fontId="4" fillId="0" borderId="0" xfId="1" applyNumberForma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7" borderId="0" xfId="0" quotePrefix="1" applyFont="1" applyFill="1"/>
    <xf numFmtId="0" fontId="9" fillId="5" borderId="0" xfId="0" quotePrefix="1" applyFont="1" applyFill="1"/>
    <xf numFmtId="0" fontId="9" fillId="5" borderId="0" xfId="0" applyFont="1" applyFill="1"/>
    <xf numFmtId="0" fontId="9" fillId="7" borderId="0" xfId="0" applyFont="1" applyFill="1"/>
    <xf numFmtId="0" fontId="0" fillId="7" borderId="0" xfId="0" quotePrefix="1" applyFill="1"/>
    <xf numFmtId="0" fontId="9" fillId="6" borderId="0" xfId="0" quotePrefix="1" applyFont="1" applyFill="1"/>
    <xf numFmtId="0" fontId="12" fillId="5" borderId="0" xfId="0" quotePrefix="1" applyFont="1" applyFill="1"/>
    <xf numFmtId="0" fontId="12" fillId="7" borderId="0" xfId="0" quotePrefix="1" applyFont="1" applyFill="1"/>
    <xf numFmtId="0" fontId="9" fillId="0" borderId="0" xfId="0" applyFont="1"/>
  </cellXfs>
  <cellStyles count="6">
    <cellStyle name="Normal" xfId="0" builtinId="0"/>
    <cellStyle name="Normal 2" xfId="2" xr:uid="{00000000-0005-0000-0000-000002000000}"/>
    <cellStyle name="Normal 3" xfId="4" xr:uid="{00000000-0005-0000-0000-000003000000}"/>
    <cellStyle name="Normal 4" xfId="5" xr:uid="{EAECBBF3-545C-44BB-8A73-A67BA81551CD}"/>
    <cellStyle name="Normal_Table" xfId="1" xr:uid="{00000000-0005-0000-0000-000005000000}"/>
    <cellStyle name="Percent 2" xfId="3" xr:uid="{00000000-0005-0000-0000-000007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FFF3FF"/>
      <color rgb="FFFFCC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LISEcute/PID_Calibr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AoQ-based PID"/>
      <sheetName val="Z -&gt; data"/>
      <sheetName val="data -&gt; Z"/>
    </sheetNames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D81"/>
  <sheetViews>
    <sheetView showGridLines="0" showRowColHeaders="0" tabSelected="1" topLeftCell="A15" workbookViewId="0">
      <selection activeCell="H22" sqref="H22"/>
    </sheetView>
  </sheetViews>
  <sheetFormatPr defaultRowHeight="12.75"/>
  <cols>
    <col min="1" max="1" width="3.85546875" customWidth="1"/>
    <col min="2" max="2" width="70.5703125" customWidth="1"/>
    <col min="3" max="3" width="8.28515625" customWidth="1"/>
    <col min="4" max="4" width="67.85546875" customWidth="1"/>
  </cols>
  <sheetData>
    <row r="1" spans="1:4" ht="17.25" customHeight="1">
      <c r="A1" s="20">
        <v>1</v>
      </c>
      <c r="B1" s="24" t="s">
        <v>233</v>
      </c>
      <c r="C1" s="20">
        <f>1+A35</f>
        <v>36</v>
      </c>
      <c r="D1" s="22" t="s">
        <v>257</v>
      </c>
    </row>
    <row r="2" spans="1:4" ht="17.25" customHeight="1">
      <c r="A2" s="20">
        <f>1+A1</f>
        <v>2</v>
      </c>
      <c r="B2" s="21" t="s">
        <v>232</v>
      </c>
      <c r="C2" s="20">
        <f t="shared" ref="C2:C16" si="0">1+C1</f>
        <v>37</v>
      </c>
      <c r="D2" s="22" t="s">
        <v>258</v>
      </c>
    </row>
    <row r="3" spans="1:4" ht="17.25" customHeight="1">
      <c r="A3" s="20">
        <f t="shared" ref="A3:A35" si="1">1+A2</f>
        <v>3</v>
      </c>
      <c r="B3" s="23" t="s">
        <v>234</v>
      </c>
      <c r="C3" s="20">
        <f t="shared" si="0"/>
        <v>38</v>
      </c>
      <c r="D3" s="22" t="s">
        <v>259</v>
      </c>
    </row>
    <row r="4" spans="1:4" ht="17.25" customHeight="1">
      <c r="A4" s="20">
        <f t="shared" si="1"/>
        <v>4</v>
      </c>
      <c r="B4" s="22" t="s">
        <v>235</v>
      </c>
      <c r="C4" s="20">
        <f t="shared" si="0"/>
        <v>39</v>
      </c>
      <c r="D4" s="22" t="s">
        <v>260</v>
      </c>
    </row>
    <row r="5" spans="1:4" ht="17.25" customHeight="1">
      <c r="A5" s="20">
        <f t="shared" si="1"/>
        <v>5</v>
      </c>
      <c r="B5" s="22" t="s">
        <v>236</v>
      </c>
      <c r="C5" s="20">
        <f t="shared" si="0"/>
        <v>40</v>
      </c>
      <c r="D5" s="22" t="s">
        <v>261</v>
      </c>
    </row>
    <row r="6" spans="1:4" ht="17.25" customHeight="1">
      <c r="A6" s="20">
        <f t="shared" si="1"/>
        <v>6</v>
      </c>
      <c r="B6" s="21" t="s">
        <v>237</v>
      </c>
      <c r="C6" s="20">
        <f t="shared" si="0"/>
        <v>41</v>
      </c>
      <c r="D6" s="21" t="s">
        <v>262</v>
      </c>
    </row>
    <row r="7" spans="1:4" ht="17.25" customHeight="1">
      <c r="A7" s="20">
        <f t="shared" si="1"/>
        <v>7</v>
      </c>
      <c r="B7" s="21" t="s">
        <v>238</v>
      </c>
      <c r="C7" s="20">
        <f t="shared" si="0"/>
        <v>42</v>
      </c>
      <c r="D7" s="21" t="s">
        <v>263</v>
      </c>
    </row>
    <row r="8" spans="1:4" ht="17.25" customHeight="1">
      <c r="A8" s="20">
        <f t="shared" si="1"/>
        <v>8</v>
      </c>
      <c r="B8" s="21" t="s">
        <v>239</v>
      </c>
      <c r="C8" s="20">
        <f t="shared" si="0"/>
        <v>43</v>
      </c>
      <c r="D8" s="22" t="s">
        <v>264</v>
      </c>
    </row>
    <row r="9" spans="1:4" ht="17.25" customHeight="1">
      <c r="A9" s="20">
        <f t="shared" si="1"/>
        <v>9</v>
      </c>
      <c r="B9" s="21" t="s">
        <v>240</v>
      </c>
      <c r="C9" s="20">
        <f t="shared" si="0"/>
        <v>44</v>
      </c>
      <c r="D9" s="22" t="s">
        <v>265</v>
      </c>
    </row>
    <row r="10" spans="1:4" ht="17.25" customHeight="1">
      <c r="A10" s="20">
        <f t="shared" si="1"/>
        <v>10</v>
      </c>
      <c r="B10" s="27" t="s">
        <v>286</v>
      </c>
      <c r="C10" s="20">
        <f t="shared" si="0"/>
        <v>45</v>
      </c>
      <c r="D10" s="21" t="s">
        <v>266</v>
      </c>
    </row>
    <row r="11" spans="1:4" ht="17.25" customHeight="1">
      <c r="A11" s="20">
        <f t="shared" si="1"/>
        <v>11</v>
      </c>
      <c r="B11" s="27" t="s">
        <v>287</v>
      </c>
      <c r="C11" s="20">
        <f t="shared" si="0"/>
        <v>46</v>
      </c>
      <c r="D11" s="21" t="s">
        <v>267</v>
      </c>
    </row>
    <row r="12" spans="1:4" ht="17.25" customHeight="1">
      <c r="A12" s="20">
        <f t="shared" si="1"/>
        <v>12</v>
      </c>
      <c r="B12" s="27" t="s">
        <v>288</v>
      </c>
      <c r="C12" s="20">
        <f t="shared" si="0"/>
        <v>47</v>
      </c>
      <c r="D12" s="26" t="s">
        <v>268</v>
      </c>
    </row>
    <row r="13" spans="1:4" ht="17.25" customHeight="1">
      <c r="A13" s="20">
        <f t="shared" si="1"/>
        <v>13</v>
      </c>
      <c r="B13" s="27" t="s">
        <v>289</v>
      </c>
      <c r="C13" s="20">
        <f t="shared" si="0"/>
        <v>48</v>
      </c>
      <c r="D13" s="27" t="s">
        <v>294</v>
      </c>
    </row>
    <row r="14" spans="1:4" ht="17.25" customHeight="1">
      <c r="A14" s="20">
        <f t="shared" si="1"/>
        <v>14</v>
      </c>
      <c r="B14" s="21" t="s">
        <v>241</v>
      </c>
      <c r="C14" s="20">
        <f t="shared" si="0"/>
        <v>49</v>
      </c>
      <c r="D14" s="27" t="s">
        <v>295</v>
      </c>
    </row>
    <row r="15" spans="1:4" ht="17.25" customHeight="1">
      <c r="A15" s="20">
        <f t="shared" si="1"/>
        <v>15</v>
      </c>
      <c r="B15" s="21" t="s">
        <v>242</v>
      </c>
      <c r="C15" s="20">
        <f t="shared" si="0"/>
        <v>50</v>
      </c>
      <c r="D15" s="21" t="s">
        <v>269</v>
      </c>
    </row>
    <row r="16" spans="1:4" ht="17.25" customHeight="1">
      <c r="A16" s="20">
        <f t="shared" si="1"/>
        <v>16</v>
      </c>
      <c r="B16" s="21" t="s">
        <v>243</v>
      </c>
      <c r="C16" s="20">
        <f t="shared" si="0"/>
        <v>51</v>
      </c>
      <c r="D16" s="21" t="s">
        <v>270</v>
      </c>
    </row>
    <row r="17" spans="1:4" ht="17.25" customHeight="1">
      <c r="A17" s="20">
        <f t="shared" si="1"/>
        <v>17</v>
      </c>
      <c r="B17" s="21" t="s">
        <v>244</v>
      </c>
      <c r="C17" s="20">
        <f t="shared" ref="C17:C35" si="2">1+C16</f>
        <v>52</v>
      </c>
      <c r="D17" s="21" t="s">
        <v>271</v>
      </c>
    </row>
    <row r="18" spans="1:4" ht="17.25" customHeight="1">
      <c r="A18" s="20">
        <f t="shared" si="1"/>
        <v>18</v>
      </c>
      <c r="B18" s="27" t="s">
        <v>290</v>
      </c>
      <c r="C18" s="20">
        <f t="shared" si="2"/>
        <v>53</v>
      </c>
      <c r="D18" s="21" t="s">
        <v>272</v>
      </c>
    </row>
    <row r="19" spans="1:4" ht="17.25" customHeight="1">
      <c r="A19" s="20">
        <f t="shared" si="1"/>
        <v>19</v>
      </c>
      <c r="B19" s="27" t="s">
        <v>291</v>
      </c>
      <c r="C19" s="20">
        <f t="shared" si="2"/>
        <v>54</v>
      </c>
      <c r="D19" s="21" t="s">
        <v>273</v>
      </c>
    </row>
    <row r="20" spans="1:4" ht="17.25" customHeight="1">
      <c r="A20" s="20">
        <f t="shared" si="1"/>
        <v>20</v>
      </c>
      <c r="B20" s="25" t="s">
        <v>245</v>
      </c>
      <c r="C20" s="20">
        <f t="shared" si="2"/>
        <v>55</v>
      </c>
      <c r="D20" s="21" t="s">
        <v>274</v>
      </c>
    </row>
    <row r="21" spans="1:4" ht="17.25" customHeight="1">
      <c r="A21" s="20">
        <f t="shared" si="1"/>
        <v>21</v>
      </c>
      <c r="B21" s="25" t="s">
        <v>246</v>
      </c>
      <c r="C21" s="20">
        <f t="shared" si="2"/>
        <v>56</v>
      </c>
      <c r="D21" s="21" t="s">
        <v>275</v>
      </c>
    </row>
    <row r="22" spans="1:4" ht="17.25" customHeight="1">
      <c r="A22" s="20">
        <f t="shared" si="1"/>
        <v>22</v>
      </c>
      <c r="B22" s="22" t="s">
        <v>247</v>
      </c>
      <c r="C22" s="20">
        <f t="shared" si="2"/>
        <v>57</v>
      </c>
      <c r="D22" s="21" t="s">
        <v>276</v>
      </c>
    </row>
    <row r="23" spans="1:4" ht="17.25" customHeight="1">
      <c r="A23" s="20">
        <f t="shared" si="1"/>
        <v>23</v>
      </c>
      <c r="B23" s="22" t="s">
        <v>248</v>
      </c>
      <c r="C23" s="20">
        <f t="shared" si="2"/>
        <v>58</v>
      </c>
      <c r="D23" s="22" t="s">
        <v>277</v>
      </c>
    </row>
    <row r="24" spans="1:4" ht="17.25" customHeight="1">
      <c r="A24" s="20">
        <f t="shared" si="1"/>
        <v>24</v>
      </c>
      <c r="B24" s="22" t="s">
        <v>249</v>
      </c>
      <c r="C24" s="20">
        <f t="shared" si="2"/>
        <v>59</v>
      </c>
      <c r="D24" s="22" t="s">
        <v>278</v>
      </c>
    </row>
    <row r="25" spans="1:4" ht="17.25" customHeight="1">
      <c r="A25" s="20">
        <f t="shared" si="1"/>
        <v>25</v>
      </c>
      <c r="B25" s="21" t="s">
        <v>250</v>
      </c>
      <c r="C25" s="20">
        <f t="shared" si="2"/>
        <v>60</v>
      </c>
      <c r="D25" s="21" t="s">
        <v>279</v>
      </c>
    </row>
    <row r="26" spans="1:4" ht="17.25" customHeight="1">
      <c r="A26" s="20">
        <f t="shared" si="1"/>
        <v>26</v>
      </c>
      <c r="B26" s="21" t="s">
        <v>251</v>
      </c>
      <c r="C26" s="20">
        <f t="shared" si="2"/>
        <v>61</v>
      </c>
      <c r="D26" s="22" t="s">
        <v>301</v>
      </c>
    </row>
    <row r="27" spans="1:4" ht="17.25" customHeight="1">
      <c r="A27" s="20">
        <f t="shared" si="1"/>
        <v>27</v>
      </c>
      <c r="B27" s="26" t="s">
        <v>285</v>
      </c>
      <c r="C27" s="20">
        <f t="shared" si="2"/>
        <v>62</v>
      </c>
      <c r="D27" s="22" t="s">
        <v>280</v>
      </c>
    </row>
    <row r="28" spans="1:4" ht="17.25" customHeight="1">
      <c r="A28" s="20">
        <f t="shared" si="1"/>
        <v>28</v>
      </c>
      <c r="B28" s="22" t="s">
        <v>252</v>
      </c>
      <c r="C28" s="20">
        <f t="shared" si="2"/>
        <v>63</v>
      </c>
      <c r="D28" s="22" t="s">
        <v>281</v>
      </c>
    </row>
    <row r="29" spans="1:4" ht="17.25" customHeight="1">
      <c r="A29" s="20">
        <f t="shared" si="1"/>
        <v>29</v>
      </c>
      <c r="B29" s="22" t="s">
        <v>253</v>
      </c>
      <c r="C29" s="20">
        <f t="shared" si="2"/>
        <v>64</v>
      </c>
      <c r="D29" s="28" t="s">
        <v>300</v>
      </c>
    </row>
    <row r="30" spans="1:4" ht="17.25" customHeight="1">
      <c r="A30" s="20">
        <f t="shared" si="1"/>
        <v>30</v>
      </c>
      <c r="B30" s="28" t="s">
        <v>299</v>
      </c>
      <c r="C30" s="20">
        <f t="shared" si="2"/>
        <v>65</v>
      </c>
      <c r="D30" s="22" t="s">
        <v>282</v>
      </c>
    </row>
    <row r="31" spans="1:4" ht="17.25" customHeight="1">
      <c r="A31" s="20">
        <f t="shared" si="1"/>
        <v>31</v>
      </c>
      <c r="B31" s="22" t="s">
        <v>254</v>
      </c>
      <c r="C31" s="20">
        <f t="shared" si="2"/>
        <v>66</v>
      </c>
      <c r="D31" s="22" t="s">
        <v>283</v>
      </c>
    </row>
    <row r="32" spans="1:4" ht="17.25" customHeight="1">
      <c r="A32" s="20">
        <f t="shared" si="1"/>
        <v>32</v>
      </c>
      <c r="B32" s="22" t="s">
        <v>255</v>
      </c>
      <c r="C32" s="20">
        <f t="shared" si="2"/>
        <v>67</v>
      </c>
      <c r="D32" s="21" t="s">
        <v>284</v>
      </c>
    </row>
    <row r="33" spans="1:4" ht="17.25" customHeight="1">
      <c r="A33" s="20">
        <f t="shared" si="1"/>
        <v>33</v>
      </c>
      <c r="B33" s="21" t="s">
        <v>256</v>
      </c>
      <c r="C33" s="20">
        <f t="shared" si="2"/>
        <v>68</v>
      </c>
      <c r="D33" s="27" t="s">
        <v>296</v>
      </c>
    </row>
    <row r="34" spans="1:4" ht="17.25" customHeight="1">
      <c r="A34" s="20">
        <f t="shared" si="1"/>
        <v>34</v>
      </c>
      <c r="B34" s="28" t="s">
        <v>292</v>
      </c>
      <c r="C34" s="20">
        <f t="shared" si="2"/>
        <v>69</v>
      </c>
      <c r="D34" s="27" t="s">
        <v>297</v>
      </c>
    </row>
    <row r="35" spans="1:4" ht="17.25" customHeight="1">
      <c r="A35" s="20">
        <f t="shared" si="1"/>
        <v>35</v>
      </c>
      <c r="B35" s="28" t="s">
        <v>293</v>
      </c>
      <c r="C35" s="20">
        <f t="shared" si="2"/>
        <v>70</v>
      </c>
      <c r="D35" s="27" t="s">
        <v>298</v>
      </c>
    </row>
    <row r="36" spans="1:4" ht="17.25" customHeight="1">
      <c r="C36" s="20"/>
      <c r="D36" s="29" t="s">
        <v>302</v>
      </c>
    </row>
    <row r="37" spans="1:4" ht="17.25" customHeight="1">
      <c r="C37" s="20"/>
      <c r="D37" s="29" t="s">
        <v>303</v>
      </c>
    </row>
    <row r="38" spans="1:4" ht="17.25" customHeight="1">
      <c r="C38" s="20"/>
      <c r="D38" s="29" t="s">
        <v>304</v>
      </c>
    </row>
    <row r="39" spans="1:4" ht="17.25" customHeight="1">
      <c r="C39" s="20"/>
    </row>
    <row r="40" spans="1:4" ht="17.25" customHeight="1">
      <c r="C40" s="20"/>
    </row>
    <row r="41" spans="1:4" ht="17.25" customHeight="1">
      <c r="C41" s="20"/>
    </row>
    <row r="42" spans="1:4" ht="17.25" customHeight="1">
      <c r="C42" s="20"/>
    </row>
    <row r="43" spans="1:4" ht="17.25" customHeight="1">
      <c r="C43" s="20"/>
    </row>
    <row r="44" spans="1:4" ht="17.25" customHeight="1">
      <c r="C44" s="20"/>
    </row>
    <row r="45" spans="1:4" ht="17.25" customHeight="1">
      <c r="C45" s="20"/>
    </row>
    <row r="46" spans="1:4" ht="17.25" customHeight="1">
      <c r="C46" s="20"/>
    </row>
    <row r="47" spans="1:4" ht="17.25" customHeight="1">
      <c r="C47" s="20"/>
    </row>
    <row r="48" spans="1:4" ht="17.25" customHeight="1">
      <c r="C48" s="20"/>
    </row>
    <row r="49" spans="1:3" ht="17.25" customHeight="1">
      <c r="C49" s="20"/>
    </row>
    <row r="50" spans="1:3" ht="17.25" customHeight="1">
      <c r="C50" s="20"/>
    </row>
    <row r="51" spans="1:3" ht="17.25" customHeight="1">
      <c r="C51" s="20"/>
    </row>
    <row r="52" spans="1:3" ht="17.25" customHeight="1">
      <c r="A52" s="20"/>
      <c r="C52" s="20"/>
    </row>
    <row r="53" spans="1:3" ht="17.25" customHeight="1">
      <c r="A53" s="20"/>
      <c r="C53" s="20"/>
    </row>
    <row r="54" spans="1:3" ht="17.25" customHeight="1">
      <c r="A54" s="20"/>
      <c r="C54" s="20"/>
    </row>
    <row r="55" spans="1:3" ht="17.25" customHeight="1">
      <c r="A55" s="20"/>
      <c r="C55" s="20"/>
    </row>
    <row r="56" spans="1:3" ht="17.25" customHeight="1">
      <c r="A56" s="20"/>
      <c r="C56" s="20"/>
    </row>
    <row r="57" spans="1:3" ht="17.25" customHeight="1">
      <c r="A57" s="20"/>
      <c r="C57" s="20"/>
    </row>
    <row r="58" spans="1:3" ht="17.25" customHeight="1">
      <c r="A58" s="20"/>
      <c r="C58" s="20"/>
    </row>
    <row r="59" spans="1:3" ht="17.25" customHeight="1">
      <c r="A59" s="20"/>
      <c r="C59" s="20"/>
    </row>
    <row r="60" spans="1:3" ht="17.25" customHeight="1">
      <c r="A60" s="20"/>
      <c r="C60" s="20"/>
    </row>
    <row r="61" spans="1:3" ht="17.25" customHeight="1">
      <c r="A61" s="20"/>
      <c r="C61" s="20"/>
    </row>
    <row r="62" spans="1:3" ht="17.25" customHeight="1">
      <c r="A62" s="20"/>
      <c r="C62" s="20"/>
    </row>
    <row r="63" spans="1:3" ht="17.25" customHeight="1">
      <c r="A63" s="20"/>
    </row>
    <row r="64" spans="1:3" ht="17.25" customHeight="1">
      <c r="A64" s="20"/>
    </row>
    <row r="65" spans="1:1" ht="17.25" customHeight="1">
      <c r="A65" s="20"/>
    </row>
    <row r="66" spans="1:1" ht="17.25" customHeight="1">
      <c r="A66" s="20"/>
    </row>
    <row r="67" spans="1:1" ht="17.25" customHeight="1">
      <c r="A67" s="20"/>
    </row>
    <row r="68" spans="1:1" ht="17.25" customHeight="1">
      <c r="A68" s="20"/>
    </row>
    <row r="69" spans="1:1" ht="17.25" customHeight="1">
      <c r="A69" s="20"/>
    </row>
    <row r="70" spans="1:1" ht="17.25" customHeight="1">
      <c r="A70" s="20"/>
    </row>
    <row r="71" spans="1:1" ht="17.25" customHeight="1"/>
    <row r="72" spans="1:1" ht="17.25" customHeight="1"/>
    <row r="73" spans="1:1" ht="17.25" customHeight="1"/>
    <row r="74" spans="1:1" ht="17.25" customHeight="1"/>
    <row r="75" spans="1:1" ht="17.25" customHeight="1"/>
    <row r="76" spans="1:1" ht="17.25" customHeight="1"/>
    <row r="77" spans="1:1" ht="17.25" customHeight="1"/>
    <row r="78" spans="1:1" ht="17.25" customHeight="1"/>
    <row r="79" spans="1:1" ht="17.25" customHeight="1"/>
    <row r="80" spans="1:1" ht="17.25" customHeight="1"/>
    <row r="81" ht="17.25" customHeight="1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data"/>
  <dimension ref="A1:O201"/>
  <sheetViews>
    <sheetView topLeftCell="A106" zoomScale="75" workbookViewId="0">
      <selection activeCell="M123" sqref="M123"/>
    </sheetView>
  </sheetViews>
  <sheetFormatPr defaultRowHeight="12.75"/>
  <cols>
    <col min="1" max="1" width="5.28515625" style="3" customWidth="1"/>
    <col min="2" max="2" width="8.140625" style="3" customWidth="1"/>
    <col min="3" max="3" width="12.42578125" style="4" customWidth="1"/>
    <col min="4" max="4" width="10.5703125" style="4" customWidth="1"/>
    <col min="5" max="5" width="3.5703125" customWidth="1"/>
    <col min="6" max="6" width="4.7109375" style="11" customWidth="1"/>
    <col min="7" max="7" width="7.28515625" style="15" customWidth="1"/>
    <col min="8" max="9" width="8.85546875" style="14" customWidth="1"/>
    <col min="10" max="10" width="5" style="14" customWidth="1"/>
    <col min="11" max="11" width="6.140625" style="14" customWidth="1"/>
    <col min="12" max="12" width="8.85546875" style="14" customWidth="1"/>
    <col min="13" max="13" width="24.7109375" style="14" customWidth="1"/>
    <col min="14" max="14" width="8.85546875" style="14" customWidth="1"/>
  </cols>
  <sheetData>
    <row r="1" spans="1:14" s="1" customFormat="1">
      <c r="A1" s="1" t="s">
        <v>32</v>
      </c>
      <c r="B1" s="2" t="s">
        <v>5</v>
      </c>
      <c r="C1" s="2" t="s">
        <v>33</v>
      </c>
      <c r="D1" s="2" t="s">
        <v>34</v>
      </c>
      <c r="F1" s="7" t="s">
        <v>0</v>
      </c>
      <c r="G1" s="8" t="s">
        <v>1</v>
      </c>
      <c r="H1" s="7" t="s">
        <v>2</v>
      </c>
      <c r="I1" s="7" t="s">
        <v>3</v>
      </c>
      <c r="J1" s="7"/>
      <c r="K1" s="16" t="s">
        <v>4</v>
      </c>
      <c r="L1" s="16" t="s">
        <v>5</v>
      </c>
      <c r="M1" s="16" t="s">
        <v>6</v>
      </c>
      <c r="N1" s="16" t="s">
        <v>7</v>
      </c>
    </row>
    <row r="2" spans="1:14">
      <c r="A2" s="3">
        <v>1</v>
      </c>
      <c r="B2" s="3" t="s">
        <v>35</v>
      </c>
      <c r="C2">
        <v>1.008</v>
      </c>
      <c r="D2">
        <v>7.1499999999999994E-2</v>
      </c>
      <c r="F2" s="9"/>
      <c r="G2" s="10"/>
      <c r="H2" s="9" t="s">
        <v>8</v>
      </c>
      <c r="I2" s="9" t="s">
        <v>9</v>
      </c>
      <c r="J2" s="9"/>
      <c r="K2" s="3">
        <v>1</v>
      </c>
      <c r="L2" s="3" t="s">
        <v>10</v>
      </c>
      <c r="M2">
        <v>-2.5840000000000001</v>
      </c>
      <c r="N2" s="17">
        <v>-2.5840000000000001</v>
      </c>
    </row>
    <row r="3" spans="1:14">
      <c r="A3" s="3">
        <f t="shared" ref="A3:A34" si="0">1+A2</f>
        <v>2</v>
      </c>
      <c r="B3" s="3" t="s">
        <v>36</v>
      </c>
      <c r="C3">
        <v>4.0030000000000001</v>
      </c>
      <c r="D3">
        <v>0.12590000000000001</v>
      </c>
      <c r="F3" s="11">
        <v>1</v>
      </c>
      <c r="G3" s="12">
        <v>2</v>
      </c>
      <c r="H3" s="13">
        <v>22.081</v>
      </c>
      <c r="I3" s="13">
        <v>1.448</v>
      </c>
      <c r="K3" s="3">
        <v>2</v>
      </c>
      <c r="L3" s="3" t="s">
        <v>11</v>
      </c>
      <c r="M3">
        <v>-7.5700000000000003E-3</v>
      </c>
      <c r="N3" s="17">
        <v>-7.5700000000000003E-3</v>
      </c>
    </row>
    <row r="4" spans="1:14">
      <c r="A4" s="3">
        <f t="shared" si="0"/>
        <v>3</v>
      </c>
      <c r="B4" s="3" t="s">
        <v>37</v>
      </c>
      <c r="C4">
        <v>6.9409999999999998</v>
      </c>
      <c r="D4">
        <v>0.53400000000000003</v>
      </c>
      <c r="F4" s="11">
        <v>2</v>
      </c>
      <c r="G4" s="12">
        <v>2.02</v>
      </c>
      <c r="H4" s="13">
        <v>21.962</v>
      </c>
      <c r="I4" s="13">
        <v>1.4550000000000001</v>
      </c>
      <c r="K4" s="3">
        <v>3</v>
      </c>
      <c r="L4" s="3" t="s">
        <v>12</v>
      </c>
      <c r="M4">
        <v>1.2513688557067252E-2</v>
      </c>
      <c r="N4" s="17">
        <v>0</v>
      </c>
    </row>
    <row r="5" spans="1:14">
      <c r="A5" s="3">
        <f t="shared" si="0"/>
        <v>4</v>
      </c>
      <c r="B5" s="3" t="s">
        <v>38</v>
      </c>
      <c r="C5">
        <v>9.0120000000000005</v>
      </c>
      <c r="D5">
        <v>1.8480000000000001</v>
      </c>
      <c r="F5" s="11">
        <v>3</v>
      </c>
      <c r="G5" s="12">
        <v>2.04</v>
      </c>
      <c r="H5" s="13">
        <v>21.844999999999999</v>
      </c>
      <c r="I5" s="13">
        <v>1.4610000000000001</v>
      </c>
      <c r="K5" s="3">
        <v>4</v>
      </c>
      <c r="L5" s="3" t="s">
        <v>13</v>
      </c>
      <c r="M5">
        <v>3.5678864939365604E-2</v>
      </c>
      <c r="N5" s="17">
        <v>1</v>
      </c>
    </row>
    <row r="6" spans="1:14">
      <c r="A6" s="3">
        <f t="shared" si="0"/>
        <v>5</v>
      </c>
      <c r="B6" s="3" t="s">
        <v>39</v>
      </c>
      <c r="C6">
        <v>10.811</v>
      </c>
      <c r="D6">
        <v>2.3502000000000001</v>
      </c>
      <c r="F6" s="11">
        <v>4</v>
      </c>
      <c r="G6" s="12">
        <v>2.06</v>
      </c>
      <c r="H6" s="13">
        <v>21.728000000000002</v>
      </c>
      <c r="I6" s="13">
        <v>1.468</v>
      </c>
      <c r="K6" s="3">
        <v>5</v>
      </c>
      <c r="L6" s="3" t="s">
        <v>14</v>
      </c>
      <c r="M6">
        <v>-0.89500000000000002</v>
      </c>
      <c r="N6" s="17">
        <v>-0.89500000000000002</v>
      </c>
    </row>
    <row r="7" spans="1:14">
      <c r="A7" s="3">
        <f t="shared" si="0"/>
        <v>6</v>
      </c>
      <c r="B7" s="3" t="s">
        <v>40</v>
      </c>
      <c r="C7">
        <v>12.010999999999999</v>
      </c>
      <c r="D7">
        <v>2.2530000000000001</v>
      </c>
      <c r="E7" s="5"/>
      <c r="F7" s="11">
        <v>5</v>
      </c>
      <c r="G7" s="12">
        <v>2.08</v>
      </c>
      <c r="H7" s="13">
        <v>21.613</v>
      </c>
      <c r="I7" s="13">
        <v>1.474</v>
      </c>
      <c r="K7" s="3">
        <v>6</v>
      </c>
      <c r="L7" s="3" t="s">
        <v>15</v>
      </c>
      <c r="M7">
        <v>2.7029999999999998E-2</v>
      </c>
      <c r="N7" s="17">
        <v>2.7029999999999998E-2</v>
      </c>
    </row>
    <row r="8" spans="1:14">
      <c r="A8" s="3">
        <f t="shared" si="0"/>
        <v>7</v>
      </c>
      <c r="B8" s="3" t="s">
        <v>0</v>
      </c>
      <c r="C8">
        <v>14.007</v>
      </c>
      <c r="D8">
        <v>1.026</v>
      </c>
      <c r="F8" s="11">
        <v>6</v>
      </c>
      <c r="G8" s="12">
        <v>2.1</v>
      </c>
      <c r="H8" s="13">
        <v>21.498000000000001</v>
      </c>
      <c r="I8" s="13">
        <v>1.48</v>
      </c>
      <c r="K8" s="3">
        <v>7</v>
      </c>
      <c r="L8" s="3" t="s">
        <v>16</v>
      </c>
      <c r="M8">
        <v>2.041E-4</v>
      </c>
      <c r="N8" s="17">
        <v>2.041E-4</v>
      </c>
    </row>
    <row r="9" spans="1:14">
      <c r="A9" s="3">
        <f t="shared" si="0"/>
        <v>8</v>
      </c>
      <c r="B9" s="3" t="s">
        <v>41</v>
      </c>
      <c r="C9">
        <v>15.999000000000001</v>
      </c>
      <c r="D9">
        <v>1.4259999999999999</v>
      </c>
      <c r="E9" s="6"/>
      <c r="F9" s="11">
        <v>7</v>
      </c>
      <c r="G9" s="12">
        <v>2.12</v>
      </c>
      <c r="H9" s="13">
        <v>21.384</v>
      </c>
      <c r="I9" s="13">
        <v>1.4870000000000001</v>
      </c>
      <c r="K9" s="3">
        <v>8</v>
      </c>
      <c r="L9" s="3" t="s">
        <v>17</v>
      </c>
      <c r="M9">
        <v>0</v>
      </c>
      <c r="N9" s="17">
        <v>0</v>
      </c>
    </row>
    <row r="10" spans="1:14">
      <c r="A10" s="3">
        <f t="shared" si="0"/>
        <v>9</v>
      </c>
      <c r="B10" s="3" t="s">
        <v>42</v>
      </c>
      <c r="C10">
        <v>18.998000000000001</v>
      </c>
      <c r="D10">
        <v>1.1111</v>
      </c>
      <c r="F10" s="11">
        <v>8</v>
      </c>
      <c r="G10" s="12">
        <v>2.14</v>
      </c>
      <c r="H10" s="13">
        <v>21.271000000000001</v>
      </c>
      <c r="I10" s="13">
        <v>1.4930000000000001</v>
      </c>
      <c r="K10" s="3">
        <v>9</v>
      </c>
      <c r="L10" s="3" t="s">
        <v>18</v>
      </c>
      <c r="M10">
        <v>0</v>
      </c>
      <c r="N10" s="17">
        <v>0</v>
      </c>
    </row>
    <row r="11" spans="1:14">
      <c r="A11" s="3">
        <f t="shared" si="0"/>
        <v>10</v>
      </c>
      <c r="B11" s="3" t="s">
        <v>43</v>
      </c>
      <c r="C11">
        <v>20.18</v>
      </c>
      <c r="D11">
        <v>1.204</v>
      </c>
      <c r="F11" s="11">
        <v>9</v>
      </c>
      <c r="G11" s="12">
        <v>2.16</v>
      </c>
      <c r="H11" s="13">
        <v>21.158999999999999</v>
      </c>
      <c r="I11" s="13">
        <v>1.4990000000000001</v>
      </c>
      <c r="K11" s="3">
        <v>10</v>
      </c>
      <c r="L11" s="3" t="s">
        <v>19</v>
      </c>
      <c r="M11">
        <v>0.54169699999999998</v>
      </c>
      <c r="N11" s="17">
        <v>0.54169699999999998</v>
      </c>
    </row>
    <row r="12" spans="1:14">
      <c r="A12" s="3">
        <f t="shared" si="0"/>
        <v>11</v>
      </c>
      <c r="B12" s="3" t="s">
        <v>44</v>
      </c>
      <c r="C12">
        <v>22.99</v>
      </c>
      <c r="D12">
        <v>0.97</v>
      </c>
      <c r="F12" s="11">
        <v>10</v>
      </c>
      <c r="G12" s="12">
        <v>2.1800000000000002</v>
      </c>
      <c r="H12" s="13">
        <v>21.047999999999998</v>
      </c>
      <c r="I12" s="13">
        <v>1.5049999999999999</v>
      </c>
      <c r="K12" s="3">
        <v>11</v>
      </c>
      <c r="L12" s="3" t="s">
        <v>20</v>
      </c>
      <c r="M12">
        <v>0</v>
      </c>
      <c r="N12" s="17">
        <v>0</v>
      </c>
    </row>
    <row r="13" spans="1:14">
      <c r="A13" s="3">
        <f t="shared" si="0"/>
        <v>12</v>
      </c>
      <c r="B13" s="3" t="s">
        <v>45</v>
      </c>
      <c r="C13">
        <v>24.305</v>
      </c>
      <c r="D13">
        <v>1.7365999999999999</v>
      </c>
      <c r="F13" s="11">
        <v>11</v>
      </c>
      <c r="G13" s="12">
        <v>2.2000000000000002</v>
      </c>
      <c r="H13" s="13">
        <v>20.937000000000001</v>
      </c>
      <c r="I13" s="13">
        <v>1.51</v>
      </c>
      <c r="K13" s="3">
        <v>12</v>
      </c>
      <c r="L13" s="3" t="s">
        <v>21</v>
      </c>
      <c r="M13">
        <v>0.36544300000000002</v>
      </c>
      <c r="N13" s="17">
        <v>0.36544300000000002</v>
      </c>
    </row>
    <row r="14" spans="1:14">
      <c r="A14" s="3">
        <f t="shared" si="0"/>
        <v>13</v>
      </c>
      <c r="B14" s="3" t="s">
        <v>46</v>
      </c>
      <c r="C14">
        <v>26.981999999999999</v>
      </c>
      <c r="D14">
        <v>2.702</v>
      </c>
      <c r="F14" s="11">
        <v>12</v>
      </c>
      <c r="G14" s="12">
        <v>2.2200000000000002</v>
      </c>
      <c r="H14" s="13">
        <v>20.827999999999999</v>
      </c>
      <c r="I14" s="13">
        <v>1.516</v>
      </c>
      <c r="K14" s="3">
        <v>13</v>
      </c>
      <c r="L14" s="3" t="s">
        <v>22</v>
      </c>
      <c r="M14">
        <v>0</v>
      </c>
      <c r="N14" s="17">
        <v>0</v>
      </c>
    </row>
    <row r="15" spans="1:14">
      <c r="A15" s="3">
        <f t="shared" si="0"/>
        <v>14</v>
      </c>
      <c r="B15" s="3" t="s">
        <v>47</v>
      </c>
      <c r="C15">
        <v>28.085999999999999</v>
      </c>
      <c r="D15">
        <v>2.3212000000000002</v>
      </c>
      <c r="F15" s="11">
        <v>13</v>
      </c>
      <c r="G15" s="12">
        <v>2.2400000000000002</v>
      </c>
      <c r="H15" s="13">
        <v>20.719000000000001</v>
      </c>
      <c r="I15" s="13">
        <v>1.522</v>
      </c>
      <c r="K15" s="3">
        <v>14</v>
      </c>
      <c r="L15" s="3" t="s">
        <v>23</v>
      </c>
      <c r="M15">
        <v>-0.27930500000000003</v>
      </c>
      <c r="N15" s="17">
        <v>-0.27930500000000003</v>
      </c>
    </row>
    <row r="16" spans="1:14">
      <c r="A16" s="3">
        <f t="shared" si="0"/>
        <v>15</v>
      </c>
      <c r="B16" s="3" t="s">
        <v>48</v>
      </c>
      <c r="C16">
        <v>30.974</v>
      </c>
      <c r="D16">
        <v>1.8219000000000001</v>
      </c>
      <c r="F16" s="11">
        <v>14</v>
      </c>
      <c r="G16" s="12">
        <v>2.2599999999999998</v>
      </c>
      <c r="H16" s="13">
        <v>20.61</v>
      </c>
      <c r="I16" s="13">
        <v>1.5269999999999999</v>
      </c>
      <c r="K16" s="3">
        <v>15</v>
      </c>
      <c r="L16" s="3" t="s">
        <v>24</v>
      </c>
      <c r="M16">
        <v>0</v>
      </c>
      <c r="N16" s="17">
        <v>0</v>
      </c>
    </row>
    <row r="17" spans="1:14">
      <c r="A17" s="3">
        <f t="shared" si="0"/>
        <v>16</v>
      </c>
      <c r="B17" s="3" t="s">
        <v>49</v>
      </c>
      <c r="C17">
        <v>32.066000000000003</v>
      </c>
      <c r="D17">
        <v>2.0686</v>
      </c>
      <c r="F17" s="11">
        <v>15</v>
      </c>
      <c r="G17" s="12">
        <v>2.2799999999999998</v>
      </c>
      <c r="H17" s="13">
        <v>20.501999999999999</v>
      </c>
      <c r="I17" s="13">
        <v>1.5329999999999999</v>
      </c>
      <c r="K17" s="3">
        <v>16</v>
      </c>
      <c r="L17" s="3" t="s">
        <v>25</v>
      </c>
      <c r="M17">
        <v>0.87914000000000003</v>
      </c>
      <c r="N17" s="17">
        <v>0.87914000000000003</v>
      </c>
    </row>
    <row r="18" spans="1:14">
      <c r="A18" s="3">
        <f t="shared" si="0"/>
        <v>17</v>
      </c>
      <c r="B18" s="3" t="s">
        <v>50</v>
      </c>
      <c r="C18">
        <v>35.453000000000003</v>
      </c>
      <c r="D18">
        <v>1.8956</v>
      </c>
      <c r="F18" s="11">
        <v>16</v>
      </c>
      <c r="G18" s="12">
        <v>2.2999999999999998</v>
      </c>
      <c r="H18" s="13">
        <v>20.395</v>
      </c>
      <c r="I18" s="13">
        <v>1.538</v>
      </c>
      <c r="K18" s="3">
        <v>17</v>
      </c>
      <c r="L18" s="3" t="s">
        <v>26</v>
      </c>
      <c r="M18">
        <v>2.1779000000000002</v>
      </c>
      <c r="N18" s="17">
        <v>2.1779000000000002</v>
      </c>
    </row>
    <row r="19" spans="1:14">
      <c r="A19" s="3">
        <f t="shared" si="0"/>
        <v>18</v>
      </c>
      <c r="B19" s="3" t="s">
        <v>51</v>
      </c>
      <c r="C19">
        <v>39.948</v>
      </c>
      <c r="D19">
        <v>1.6504000000000001</v>
      </c>
      <c r="F19" s="11">
        <v>17</v>
      </c>
      <c r="G19" s="12">
        <v>2.3199999999999998</v>
      </c>
      <c r="H19" s="13">
        <v>20.289000000000001</v>
      </c>
      <c r="I19" s="13">
        <v>1.5429999999999999</v>
      </c>
      <c r="K19" s="3">
        <v>18</v>
      </c>
      <c r="L19" s="3" t="s">
        <v>27</v>
      </c>
      <c r="M19">
        <v>-6.7702099999999996E-3</v>
      </c>
      <c r="N19" s="17">
        <v>-6.7702099999999996E-3</v>
      </c>
    </row>
    <row r="20" spans="1:14">
      <c r="A20" s="3">
        <f t="shared" si="0"/>
        <v>19</v>
      </c>
      <c r="B20" s="3" t="s">
        <v>52</v>
      </c>
      <c r="C20">
        <v>39.097999999999999</v>
      </c>
      <c r="D20">
        <v>0.86319999999999997</v>
      </c>
      <c r="F20" s="11">
        <v>18</v>
      </c>
      <c r="G20" s="12">
        <v>2.34</v>
      </c>
      <c r="H20" s="13">
        <v>20.183</v>
      </c>
      <c r="I20" s="13">
        <v>1.5489999999999999</v>
      </c>
      <c r="K20" s="3">
        <v>19</v>
      </c>
      <c r="L20" s="3" t="s">
        <v>28</v>
      </c>
      <c r="M20">
        <v>0</v>
      </c>
      <c r="N20" s="17">
        <v>0</v>
      </c>
    </row>
    <row r="21" spans="1:14">
      <c r="A21" s="3">
        <f t="shared" si="0"/>
        <v>20</v>
      </c>
      <c r="B21" s="3" t="s">
        <v>53</v>
      </c>
      <c r="C21">
        <v>40.08</v>
      </c>
      <c r="D21">
        <v>1.54</v>
      </c>
      <c r="F21" s="11">
        <v>19</v>
      </c>
      <c r="G21" s="12">
        <v>2.36</v>
      </c>
      <c r="H21" s="13">
        <v>20.077999999999999</v>
      </c>
      <c r="I21" s="13">
        <v>1.554</v>
      </c>
      <c r="K21" s="3">
        <v>20</v>
      </c>
      <c r="L21" s="3" t="s">
        <v>29</v>
      </c>
      <c r="M21">
        <v>0</v>
      </c>
      <c r="N21" s="17">
        <v>0</v>
      </c>
    </row>
    <row r="22" spans="1:14">
      <c r="A22" s="3">
        <f t="shared" si="0"/>
        <v>21</v>
      </c>
      <c r="B22" s="3" t="s">
        <v>54</v>
      </c>
      <c r="C22">
        <v>44.956000000000003</v>
      </c>
      <c r="D22">
        <v>2.9889999999999999</v>
      </c>
      <c r="F22" s="11">
        <v>20</v>
      </c>
      <c r="G22" s="12">
        <v>2.38</v>
      </c>
      <c r="H22" s="13">
        <v>19.972999999999999</v>
      </c>
      <c r="I22" s="13">
        <v>1.5589999999999999</v>
      </c>
      <c r="K22" s="3">
        <v>21</v>
      </c>
      <c r="L22" s="3" t="s">
        <v>30</v>
      </c>
      <c r="M22">
        <v>2</v>
      </c>
      <c r="N22" s="17">
        <v>2</v>
      </c>
    </row>
    <row r="23" spans="1:14">
      <c r="A23" s="3">
        <f t="shared" si="0"/>
        <v>22</v>
      </c>
      <c r="B23" s="3" t="s">
        <v>55</v>
      </c>
      <c r="C23">
        <v>47.9</v>
      </c>
      <c r="D23">
        <v>4.5189000000000004</v>
      </c>
      <c r="F23" s="11">
        <v>21</v>
      </c>
      <c r="G23" s="12">
        <v>2.4</v>
      </c>
      <c r="H23" s="13">
        <v>19.869</v>
      </c>
      <c r="I23" s="13">
        <v>1.5640000000000001</v>
      </c>
      <c r="K23" s="3">
        <v>22</v>
      </c>
      <c r="L23" s="3" t="s">
        <v>31</v>
      </c>
      <c r="M23">
        <v>1.5</v>
      </c>
      <c r="N23" s="17">
        <v>1.5</v>
      </c>
    </row>
    <row r="24" spans="1:14">
      <c r="A24" s="3">
        <f t="shared" si="0"/>
        <v>23</v>
      </c>
      <c r="B24" s="3" t="s">
        <v>56</v>
      </c>
      <c r="C24">
        <v>50.942</v>
      </c>
      <c r="D24">
        <v>5.96</v>
      </c>
      <c r="F24" s="11">
        <v>22</v>
      </c>
      <c r="G24" s="12">
        <v>2.42</v>
      </c>
      <c r="H24" s="13">
        <v>19.765999999999998</v>
      </c>
      <c r="I24" s="13">
        <v>1.5680000000000001</v>
      </c>
    </row>
    <row r="25" spans="1:14">
      <c r="A25" s="3">
        <f t="shared" si="0"/>
        <v>24</v>
      </c>
      <c r="B25" s="3" t="s">
        <v>57</v>
      </c>
      <c r="C25">
        <v>51.996000000000002</v>
      </c>
      <c r="D25">
        <v>7.2</v>
      </c>
      <c r="F25" s="11">
        <v>23</v>
      </c>
      <c r="G25" s="12">
        <v>2.44</v>
      </c>
      <c r="H25" s="13">
        <v>19.663</v>
      </c>
      <c r="I25" s="13">
        <v>1.573</v>
      </c>
    </row>
    <row r="26" spans="1:14">
      <c r="A26" s="3">
        <f t="shared" si="0"/>
        <v>25</v>
      </c>
      <c r="B26" s="3" t="s">
        <v>58</v>
      </c>
      <c r="C26">
        <v>54.938000000000002</v>
      </c>
      <c r="D26">
        <v>7.4340999999999999</v>
      </c>
      <c r="F26" s="11">
        <v>24</v>
      </c>
      <c r="G26" s="12">
        <v>2.46</v>
      </c>
      <c r="H26" s="13">
        <v>19.561</v>
      </c>
      <c r="I26" s="13">
        <v>1.5780000000000001</v>
      </c>
    </row>
    <row r="27" spans="1:14">
      <c r="A27" s="3">
        <f t="shared" si="0"/>
        <v>26</v>
      </c>
      <c r="B27" s="3" t="s">
        <v>59</v>
      </c>
      <c r="C27">
        <v>55.847000000000001</v>
      </c>
      <c r="D27">
        <v>7.8658000000000001</v>
      </c>
      <c r="F27" s="11">
        <v>25</v>
      </c>
      <c r="G27" s="12">
        <v>2.48</v>
      </c>
      <c r="H27" s="13">
        <v>19.46</v>
      </c>
      <c r="I27" s="13">
        <v>1.5820000000000001</v>
      </c>
    </row>
    <row r="28" spans="1:14">
      <c r="A28" s="3">
        <f t="shared" si="0"/>
        <v>27</v>
      </c>
      <c r="B28" s="3" t="s">
        <v>60</v>
      </c>
      <c r="C28">
        <v>58.933</v>
      </c>
      <c r="D28">
        <v>8.9</v>
      </c>
      <c r="F28" s="11">
        <v>26</v>
      </c>
      <c r="G28" s="12">
        <v>2.5</v>
      </c>
      <c r="H28" s="13">
        <v>19.359000000000002</v>
      </c>
      <c r="I28" s="13">
        <v>1.587</v>
      </c>
    </row>
    <row r="29" spans="1:14">
      <c r="A29" s="3">
        <f t="shared" si="0"/>
        <v>28</v>
      </c>
      <c r="B29" s="3" t="s">
        <v>61</v>
      </c>
      <c r="C29">
        <v>58.69</v>
      </c>
      <c r="D29">
        <v>8.8955000000000002</v>
      </c>
      <c r="F29" s="11">
        <v>27</v>
      </c>
      <c r="G29" s="12">
        <v>2.52</v>
      </c>
      <c r="H29" s="13">
        <v>19.257999999999999</v>
      </c>
      <c r="I29" s="13">
        <v>1.591</v>
      </c>
    </row>
    <row r="30" spans="1:14">
      <c r="A30" s="3">
        <f t="shared" si="0"/>
        <v>29</v>
      </c>
      <c r="B30" s="3" t="s">
        <v>62</v>
      </c>
      <c r="C30">
        <v>63.545999999999999</v>
      </c>
      <c r="D30">
        <v>8.92</v>
      </c>
      <c r="F30" s="11">
        <v>28</v>
      </c>
      <c r="G30" s="12">
        <v>2.54</v>
      </c>
      <c r="H30" s="13">
        <v>19.158999999999999</v>
      </c>
      <c r="I30" s="13">
        <v>1.5960000000000001</v>
      </c>
    </row>
    <row r="31" spans="1:14">
      <c r="A31" s="3">
        <f t="shared" si="0"/>
        <v>30</v>
      </c>
      <c r="B31" s="3" t="s">
        <v>63</v>
      </c>
      <c r="C31">
        <v>65.39</v>
      </c>
      <c r="D31">
        <v>7.14</v>
      </c>
      <c r="F31" s="11">
        <v>29</v>
      </c>
      <c r="G31" s="12">
        <v>2.56</v>
      </c>
      <c r="H31" s="13">
        <v>19.059999999999999</v>
      </c>
      <c r="I31" s="13">
        <v>1.6</v>
      </c>
    </row>
    <row r="32" spans="1:14">
      <c r="A32" s="3">
        <f t="shared" si="0"/>
        <v>31</v>
      </c>
      <c r="B32" s="3" t="s">
        <v>64</v>
      </c>
      <c r="C32">
        <v>69.72</v>
      </c>
      <c r="D32">
        <v>5.9039999999999999</v>
      </c>
      <c r="F32" s="11">
        <v>30</v>
      </c>
      <c r="G32" s="12">
        <v>2.58</v>
      </c>
      <c r="H32" s="13">
        <v>18.960999999999999</v>
      </c>
      <c r="I32" s="13">
        <v>1.6040000000000001</v>
      </c>
    </row>
    <row r="33" spans="1:15">
      <c r="A33" s="3">
        <f t="shared" si="0"/>
        <v>32</v>
      </c>
      <c r="B33" s="3" t="s">
        <v>65</v>
      </c>
      <c r="C33">
        <v>72.61</v>
      </c>
      <c r="D33">
        <v>5.35</v>
      </c>
      <c r="F33" s="11">
        <v>31</v>
      </c>
      <c r="G33" s="12">
        <v>2.6</v>
      </c>
      <c r="H33" s="13">
        <v>18.863</v>
      </c>
      <c r="I33" s="13">
        <v>1.6080000000000001</v>
      </c>
      <c r="M33" s="18"/>
    </row>
    <row r="34" spans="1:15">
      <c r="A34" s="3">
        <f t="shared" si="0"/>
        <v>33</v>
      </c>
      <c r="B34" s="3" t="s">
        <v>66</v>
      </c>
      <c r="C34">
        <v>74.921999999999997</v>
      </c>
      <c r="D34">
        <v>5.7270000000000003</v>
      </c>
      <c r="F34" s="11">
        <v>32</v>
      </c>
      <c r="G34" s="12">
        <v>2.62</v>
      </c>
      <c r="H34" s="13">
        <v>18.765999999999998</v>
      </c>
      <c r="I34" s="13">
        <v>1.6120000000000001</v>
      </c>
      <c r="M34" s="18"/>
    </row>
    <row r="35" spans="1:15">
      <c r="A35" s="3">
        <f t="shared" ref="A35:A66" si="1">1+A34</f>
        <v>34</v>
      </c>
      <c r="B35" s="3" t="s">
        <v>67</v>
      </c>
      <c r="C35">
        <v>78.959999999999994</v>
      </c>
      <c r="D35">
        <v>4.8099999999999996</v>
      </c>
      <c r="F35" s="11">
        <v>33</v>
      </c>
      <c r="G35" s="12">
        <v>2.64</v>
      </c>
      <c r="H35" s="13">
        <v>18.670000000000002</v>
      </c>
      <c r="I35" s="13">
        <v>1.6160000000000001</v>
      </c>
      <c r="M35"/>
    </row>
    <row r="36" spans="1:15">
      <c r="A36" s="3">
        <f t="shared" si="1"/>
        <v>35</v>
      </c>
      <c r="B36" s="3" t="s">
        <v>68</v>
      </c>
      <c r="C36">
        <v>79.903999999999996</v>
      </c>
      <c r="D36">
        <v>3.1989999999999998</v>
      </c>
      <c r="F36" s="11">
        <v>34</v>
      </c>
      <c r="G36" s="12">
        <v>2.66</v>
      </c>
      <c r="H36" s="13">
        <v>18.574000000000002</v>
      </c>
      <c r="I36" s="13">
        <v>1.62</v>
      </c>
      <c r="M36"/>
      <c r="N36" s="11"/>
      <c r="O36" s="3"/>
    </row>
    <row r="37" spans="1:15">
      <c r="A37" s="3">
        <f t="shared" si="1"/>
        <v>36</v>
      </c>
      <c r="B37" s="3" t="s">
        <v>69</v>
      </c>
      <c r="C37">
        <v>83.8</v>
      </c>
      <c r="D37">
        <v>2.6021000000000001</v>
      </c>
      <c r="F37" s="11">
        <v>35</v>
      </c>
      <c r="G37" s="12">
        <v>2.68</v>
      </c>
      <c r="H37" s="13">
        <v>18.478000000000002</v>
      </c>
      <c r="I37" s="13">
        <v>1.6240000000000001</v>
      </c>
      <c r="M37"/>
      <c r="N37" s="11"/>
      <c r="O37" s="3"/>
    </row>
    <row r="38" spans="1:15">
      <c r="A38" s="3">
        <f t="shared" si="1"/>
        <v>37</v>
      </c>
      <c r="B38" s="3" t="s">
        <v>70</v>
      </c>
      <c r="C38">
        <v>85.47</v>
      </c>
      <c r="D38">
        <v>1.532</v>
      </c>
      <c r="F38" s="11">
        <v>36</v>
      </c>
      <c r="G38" s="12">
        <v>2.7</v>
      </c>
      <c r="H38" s="13">
        <v>18.384</v>
      </c>
      <c r="I38" s="13">
        <v>1.6279999999999999</v>
      </c>
      <c r="M38"/>
      <c r="N38" s="11"/>
      <c r="O38" s="3"/>
    </row>
    <row r="39" spans="1:15">
      <c r="A39" s="3">
        <f t="shared" si="1"/>
        <v>38</v>
      </c>
      <c r="B39" s="3" t="s">
        <v>71</v>
      </c>
      <c r="C39">
        <v>87.62</v>
      </c>
      <c r="D39">
        <v>2.6</v>
      </c>
      <c r="F39" s="11">
        <v>37</v>
      </c>
      <c r="G39" s="12">
        <v>2.72</v>
      </c>
      <c r="H39" s="13">
        <v>18.289000000000001</v>
      </c>
      <c r="I39" s="13">
        <v>1.631</v>
      </c>
      <c r="M39"/>
    </row>
    <row r="40" spans="1:15">
      <c r="A40" s="3">
        <f t="shared" si="1"/>
        <v>39</v>
      </c>
      <c r="B40" s="3" t="s">
        <v>72</v>
      </c>
      <c r="C40">
        <v>88.905000000000001</v>
      </c>
      <c r="D40">
        <v>4.4690000000000003</v>
      </c>
      <c r="F40" s="11">
        <v>38</v>
      </c>
      <c r="G40" s="12">
        <v>2.74</v>
      </c>
      <c r="H40" s="13">
        <v>18.196000000000002</v>
      </c>
      <c r="I40" s="13">
        <v>1.635</v>
      </c>
      <c r="L40" s="11"/>
      <c r="M40" s="3"/>
    </row>
    <row r="41" spans="1:15">
      <c r="A41" s="3">
        <f t="shared" si="1"/>
        <v>40</v>
      </c>
      <c r="B41" s="3" t="s">
        <v>73</v>
      </c>
      <c r="C41">
        <v>91.22</v>
      </c>
      <c r="D41">
        <v>6.49</v>
      </c>
      <c r="F41" s="11">
        <v>39</v>
      </c>
      <c r="G41" s="12">
        <v>2.76</v>
      </c>
      <c r="H41" s="13">
        <v>18.103000000000002</v>
      </c>
      <c r="I41" s="13">
        <v>1.6379999999999999</v>
      </c>
      <c r="L41" s="11"/>
      <c r="M41"/>
    </row>
    <row r="42" spans="1:15">
      <c r="A42" s="3">
        <f t="shared" si="1"/>
        <v>41</v>
      </c>
      <c r="B42" s="3" t="s">
        <v>74</v>
      </c>
      <c r="C42">
        <v>92.906000000000006</v>
      </c>
      <c r="D42">
        <v>8.57</v>
      </c>
      <c r="F42" s="11">
        <v>40</v>
      </c>
      <c r="G42" s="12">
        <v>2.78</v>
      </c>
      <c r="H42" s="13">
        <v>18.010999999999999</v>
      </c>
      <c r="I42" s="13">
        <v>1.6419999999999999</v>
      </c>
      <c r="L42" s="11"/>
      <c r="M42"/>
    </row>
    <row r="43" spans="1:15">
      <c r="A43" s="3">
        <f t="shared" si="1"/>
        <v>42</v>
      </c>
      <c r="B43" s="3" t="s">
        <v>75</v>
      </c>
      <c r="C43">
        <v>95.94</v>
      </c>
      <c r="D43">
        <v>10.206</v>
      </c>
      <c r="F43" s="11">
        <v>41</v>
      </c>
      <c r="G43" s="12">
        <v>2.8</v>
      </c>
      <c r="H43" s="13">
        <v>17.919</v>
      </c>
      <c r="I43" s="13">
        <v>1.645</v>
      </c>
      <c r="L43" s="11"/>
      <c r="M43"/>
    </row>
    <row r="44" spans="1:15">
      <c r="A44" s="3">
        <f t="shared" si="1"/>
        <v>43</v>
      </c>
      <c r="B44" s="3" t="s">
        <v>76</v>
      </c>
      <c r="C44">
        <v>97</v>
      </c>
      <c r="D44">
        <v>11.5</v>
      </c>
      <c r="F44" s="11">
        <v>42</v>
      </c>
      <c r="G44" s="12">
        <v>2.82</v>
      </c>
      <c r="H44" s="13">
        <v>17.829000000000001</v>
      </c>
      <c r="I44" s="13">
        <v>1.649</v>
      </c>
      <c r="L44" s="11"/>
      <c r="M44"/>
    </row>
    <row r="45" spans="1:15">
      <c r="A45" s="3">
        <f t="shared" si="1"/>
        <v>44</v>
      </c>
      <c r="B45" s="3" t="s">
        <v>77</v>
      </c>
      <c r="C45">
        <v>101.07</v>
      </c>
      <c r="D45">
        <v>12.3</v>
      </c>
      <c r="F45" s="11">
        <v>43</v>
      </c>
      <c r="G45" s="12">
        <v>2.84</v>
      </c>
      <c r="H45" s="13">
        <v>17.738</v>
      </c>
      <c r="I45" s="13">
        <v>1.6519999999999999</v>
      </c>
      <c r="L45" s="11"/>
      <c r="M45"/>
    </row>
    <row r="46" spans="1:15">
      <c r="A46" s="3">
        <f t="shared" si="1"/>
        <v>45</v>
      </c>
      <c r="B46" s="3" t="s">
        <v>78</v>
      </c>
      <c r="C46">
        <v>102.91</v>
      </c>
      <c r="D46">
        <v>12.398999999999999</v>
      </c>
      <c r="F46" s="11">
        <v>44</v>
      </c>
      <c r="G46" s="12">
        <v>2.86</v>
      </c>
      <c r="H46" s="13">
        <v>17.649000000000001</v>
      </c>
      <c r="I46" s="13">
        <v>1.655</v>
      </c>
      <c r="L46" s="11"/>
      <c r="M46"/>
    </row>
    <row r="47" spans="1:15">
      <c r="A47" s="3">
        <f t="shared" si="1"/>
        <v>46</v>
      </c>
      <c r="B47" s="3" t="s">
        <v>79</v>
      </c>
      <c r="C47">
        <v>106.4</v>
      </c>
      <c r="D47">
        <v>12.02</v>
      </c>
      <c r="F47" s="11">
        <v>45</v>
      </c>
      <c r="G47" s="12">
        <v>2.88</v>
      </c>
      <c r="H47" s="13">
        <v>17.559999999999999</v>
      </c>
      <c r="I47" s="13">
        <v>1.6579999999999999</v>
      </c>
      <c r="L47" s="11"/>
      <c r="M47"/>
    </row>
    <row r="48" spans="1:15">
      <c r="A48" s="3">
        <f t="shared" si="1"/>
        <v>47</v>
      </c>
      <c r="B48" s="3" t="s">
        <v>80</v>
      </c>
      <c r="C48">
        <v>107.87</v>
      </c>
      <c r="D48">
        <v>10.473000000000001</v>
      </c>
      <c r="F48" s="11">
        <v>46</v>
      </c>
      <c r="G48" s="12">
        <v>2.9</v>
      </c>
      <c r="H48" s="13">
        <v>17.471</v>
      </c>
      <c r="I48" s="13">
        <v>1.661</v>
      </c>
      <c r="L48" s="11"/>
      <c r="M48"/>
    </row>
    <row r="49" spans="1:13">
      <c r="A49" s="3">
        <f t="shared" si="1"/>
        <v>48</v>
      </c>
      <c r="B49" s="3" t="s">
        <v>81</v>
      </c>
      <c r="C49">
        <v>112.4</v>
      </c>
      <c r="D49">
        <v>8.6419999999999995</v>
      </c>
      <c r="F49" s="11">
        <v>47</v>
      </c>
      <c r="G49" s="12">
        <v>2.92</v>
      </c>
      <c r="H49" s="13">
        <v>17.384</v>
      </c>
      <c r="I49" s="13">
        <v>1.6639999999999999</v>
      </c>
      <c r="L49" s="11"/>
      <c r="M49"/>
    </row>
    <row r="50" spans="1:13">
      <c r="A50" s="3">
        <f t="shared" si="1"/>
        <v>49</v>
      </c>
      <c r="B50" s="3" t="s">
        <v>82</v>
      </c>
      <c r="C50">
        <v>114.82</v>
      </c>
      <c r="D50">
        <v>7.3</v>
      </c>
      <c r="F50" s="11">
        <v>48</v>
      </c>
      <c r="G50" s="12">
        <v>2.94</v>
      </c>
      <c r="H50" s="13">
        <v>17.297000000000001</v>
      </c>
      <c r="I50" s="13">
        <v>1.667</v>
      </c>
      <c r="L50" s="11"/>
      <c r="M50"/>
    </row>
    <row r="51" spans="1:13">
      <c r="A51" s="3">
        <f t="shared" si="1"/>
        <v>50</v>
      </c>
      <c r="B51" s="3" t="s">
        <v>83</v>
      </c>
      <c r="C51">
        <v>118.71</v>
      </c>
      <c r="D51">
        <v>7.2816000000000001</v>
      </c>
      <c r="F51" s="11">
        <v>49</v>
      </c>
      <c r="G51" s="12">
        <v>2.96</v>
      </c>
      <c r="H51" s="13">
        <v>17.21</v>
      </c>
      <c r="I51" s="13">
        <v>1.67</v>
      </c>
      <c r="L51" s="11"/>
      <c r="M51"/>
    </row>
    <row r="52" spans="1:13">
      <c r="A52" s="3">
        <f t="shared" si="1"/>
        <v>51</v>
      </c>
      <c r="B52" s="3" t="s">
        <v>84</v>
      </c>
      <c r="C52">
        <v>121.75</v>
      </c>
      <c r="D52">
        <v>6.6840000000000002</v>
      </c>
      <c r="F52" s="11">
        <v>50</v>
      </c>
      <c r="G52" s="12">
        <v>2.98</v>
      </c>
      <c r="H52" s="13">
        <v>17.125</v>
      </c>
      <c r="I52" s="13">
        <v>1.673</v>
      </c>
      <c r="L52" s="11"/>
      <c r="M52"/>
    </row>
    <row r="53" spans="1:13">
      <c r="A53" s="3">
        <f t="shared" si="1"/>
        <v>52</v>
      </c>
      <c r="B53" s="3" t="s">
        <v>85</v>
      </c>
      <c r="C53">
        <v>127.6</v>
      </c>
      <c r="D53">
        <v>6.25</v>
      </c>
      <c r="F53" s="11">
        <v>51</v>
      </c>
      <c r="G53" s="12">
        <v>3</v>
      </c>
      <c r="H53" s="13">
        <v>17.039000000000001</v>
      </c>
      <c r="I53" s="13">
        <v>1.6759999999999999</v>
      </c>
      <c r="L53" s="11"/>
      <c r="M53"/>
    </row>
    <row r="54" spans="1:13">
      <c r="A54" s="3">
        <f t="shared" si="1"/>
        <v>53</v>
      </c>
      <c r="B54" s="3" t="s">
        <v>86</v>
      </c>
      <c r="C54">
        <v>126.9</v>
      </c>
      <c r="D54">
        <v>4.9372999999999996</v>
      </c>
      <c r="F54" s="11">
        <v>52</v>
      </c>
      <c r="G54" s="12">
        <v>3.02</v>
      </c>
      <c r="H54" s="13">
        <v>16.954999999999998</v>
      </c>
      <c r="I54" s="13">
        <v>1.6789999999999998</v>
      </c>
      <c r="L54" s="11"/>
      <c r="M54"/>
    </row>
    <row r="55" spans="1:13">
      <c r="A55" s="3">
        <f t="shared" si="1"/>
        <v>54</v>
      </c>
      <c r="B55" s="3" t="s">
        <v>87</v>
      </c>
      <c r="C55">
        <v>131.30000000000001</v>
      </c>
      <c r="D55">
        <v>3.0589</v>
      </c>
      <c r="F55" s="11">
        <v>53</v>
      </c>
      <c r="G55" s="12">
        <v>3.04</v>
      </c>
      <c r="H55" s="13">
        <v>16.870999999999999</v>
      </c>
      <c r="I55" s="13">
        <v>1.6819999999999997</v>
      </c>
      <c r="L55" s="11"/>
      <c r="M55"/>
    </row>
    <row r="56" spans="1:13">
      <c r="A56" s="3">
        <f t="shared" si="1"/>
        <v>55</v>
      </c>
      <c r="B56" s="3" t="s">
        <v>88</v>
      </c>
      <c r="C56">
        <v>132.91</v>
      </c>
      <c r="D56">
        <v>1.8785000000000001</v>
      </c>
      <c r="F56" s="11">
        <v>54</v>
      </c>
      <c r="G56" s="12">
        <v>3.06</v>
      </c>
      <c r="H56" s="13">
        <v>16.788</v>
      </c>
      <c r="I56" s="13">
        <v>1.6850000000000001</v>
      </c>
      <c r="L56" s="11"/>
      <c r="M56"/>
    </row>
    <row r="57" spans="1:13">
      <c r="A57" s="3">
        <f t="shared" si="1"/>
        <v>56</v>
      </c>
      <c r="B57" s="3" t="s">
        <v>89</v>
      </c>
      <c r="C57">
        <v>137.327</v>
      </c>
      <c r="D57">
        <v>3.51</v>
      </c>
      <c r="F57" s="11">
        <v>55</v>
      </c>
      <c r="G57" s="12">
        <v>3.08</v>
      </c>
      <c r="H57" s="13">
        <v>16.706</v>
      </c>
      <c r="I57" s="13">
        <v>1.6870000000000001</v>
      </c>
      <c r="L57" s="11"/>
      <c r="M57"/>
    </row>
    <row r="58" spans="1:13">
      <c r="A58" s="3">
        <f t="shared" si="1"/>
        <v>57</v>
      </c>
      <c r="B58" s="3" t="s">
        <v>90</v>
      </c>
      <c r="C58">
        <v>138.91</v>
      </c>
      <c r="D58">
        <v>6.1738</v>
      </c>
      <c r="F58" s="11">
        <v>56</v>
      </c>
      <c r="G58" s="12">
        <v>3.1</v>
      </c>
      <c r="H58" s="13">
        <v>16.623999999999999</v>
      </c>
      <c r="I58" s="13">
        <v>1.69</v>
      </c>
      <c r="L58" s="11"/>
      <c r="M58"/>
    </row>
    <row r="59" spans="1:13">
      <c r="A59" s="3">
        <f t="shared" si="1"/>
        <v>58</v>
      </c>
      <c r="B59" s="3" t="s">
        <v>91</v>
      </c>
      <c r="C59">
        <v>140.12</v>
      </c>
      <c r="D59">
        <v>6.6723999999999997</v>
      </c>
      <c r="F59" s="11">
        <v>57</v>
      </c>
      <c r="G59" s="12">
        <v>3.12</v>
      </c>
      <c r="H59" s="13">
        <v>16.542999999999999</v>
      </c>
      <c r="I59" s="13">
        <v>1.6919999999999999</v>
      </c>
      <c r="L59" s="11"/>
      <c r="M59"/>
    </row>
    <row r="60" spans="1:13">
      <c r="A60" s="3">
        <f t="shared" si="1"/>
        <v>59</v>
      </c>
      <c r="B60" s="3" t="s">
        <v>92</v>
      </c>
      <c r="C60">
        <v>140.91</v>
      </c>
      <c r="D60">
        <v>6.7729999999999997</v>
      </c>
      <c r="F60" s="11">
        <v>58</v>
      </c>
      <c r="G60" s="12">
        <v>3.14</v>
      </c>
      <c r="H60" s="13">
        <v>16.462</v>
      </c>
      <c r="I60" s="13">
        <v>1.6950000000000001</v>
      </c>
      <c r="L60" s="11"/>
      <c r="M60"/>
    </row>
    <row r="61" spans="1:13">
      <c r="A61" s="3">
        <f t="shared" si="1"/>
        <v>60</v>
      </c>
      <c r="B61" s="3" t="s">
        <v>93</v>
      </c>
      <c r="C61">
        <v>144.24</v>
      </c>
      <c r="D61">
        <v>7.008</v>
      </c>
      <c r="F61" s="11">
        <v>59</v>
      </c>
      <c r="G61" s="12">
        <v>3.16</v>
      </c>
      <c r="H61" s="13">
        <v>16.382000000000001</v>
      </c>
      <c r="I61" s="13">
        <v>1.6970000000000001</v>
      </c>
      <c r="L61" s="11"/>
      <c r="M61"/>
    </row>
    <row r="62" spans="1:13">
      <c r="A62" s="3">
        <f t="shared" si="1"/>
        <v>61</v>
      </c>
      <c r="B62" s="3" t="s">
        <v>94</v>
      </c>
      <c r="C62">
        <v>148</v>
      </c>
      <c r="D62">
        <v>6.4749999999999996</v>
      </c>
      <c r="F62" s="11">
        <v>60</v>
      </c>
      <c r="G62" s="12">
        <v>3.18</v>
      </c>
      <c r="H62" s="13">
        <v>16.303000000000001</v>
      </c>
      <c r="I62" s="13">
        <v>1.7</v>
      </c>
      <c r="L62" s="11"/>
      <c r="M62"/>
    </row>
    <row r="63" spans="1:13">
      <c r="A63" s="3">
        <f t="shared" si="1"/>
        <v>62</v>
      </c>
      <c r="B63" s="3" t="s">
        <v>95</v>
      </c>
      <c r="C63">
        <v>150.36000000000001</v>
      </c>
      <c r="D63">
        <v>7.52</v>
      </c>
      <c r="F63" s="11">
        <v>61</v>
      </c>
      <c r="G63" s="12">
        <v>3.2</v>
      </c>
      <c r="H63" s="13">
        <v>16.224</v>
      </c>
      <c r="I63" s="13">
        <v>1.702</v>
      </c>
      <c r="L63" s="11"/>
      <c r="M63"/>
    </row>
    <row r="64" spans="1:13">
      <c r="A64" s="3">
        <f t="shared" si="1"/>
        <v>63</v>
      </c>
      <c r="B64" s="3" t="s">
        <v>96</v>
      </c>
      <c r="C64">
        <v>151.97</v>
      </c>
      <c r="D64">
        <v>5.2439999999999998</v>
      </c>
      <c r="F64" s="11">
        <v>62</v>
      </c>
      <c r="G64" s="12">
        <v>3.22</v>
      </c>
      <c r="H64" s="13">
        <v>16.146000000000001</v>
      </c>
      <c r="I64" s="13">
        <v>1.7050000000000001</v>
      </c>
      <c r="L64" s="11"/>
      <c r="M64"/>
    </row>
    <row r="65" spans="1:13">
      <c r="A65" s="3">
        <f t="shared" si="1"/>
        <v>64</v>
      </c>
      <c r="B65" s="3" t="s">
        <v>97</v>
      </c>
      <c r="C65">
        <v>157.25</v>
      </c>
      <c r="D65">
        <v>7.9009999999999998</v>
      </c>
      <c r="F65" s="11">
        <v>63</v>
      </c>
      <c r="G65" s="12">
        <v>3.24</v>
      </c>
      <c r="H65" s="13">
        <v>16.068999999999999</v>
      </c>
      <c r="I65" s="13">
        <v>1.7070000000000001</v>
      </c>
      <c r="L65" s="11"/>
      <c r="M65"/>
    </row>
    <row r="66" spans="1:13">
      <c r="A66" s="3">
        <f t="shared" si="1"/>
        <v>65</v>
      </c>
      <c r="B66" s="3" t="s">
        <v>98</v>
      </c>
      <c r="C66">
        <v>158.93</v>
      </c>
      <c r="D66">
        <v>8.23</v>
      </c>
      <c r="F66" s="11">
        <v>64</v>
      </c>
      <c r="G66" s="12">
        <v>3.26</v>
      </c>
      <c r="H66" s="13">
        <v>15.992000000000001</v>
      </c>
      <c r="I66" s="13">
        <v>1.71</v>
      </c>
      <c r="L66" s="11"/>
      <c r="M66"/>
    </row>
    <row r="67" spans="1:13">
      <c r="A67" s="3">
        <f t="shared" ref="A67:A98" si="2">1+A66</f>
        <v>66</v>
      </c>
      <c r="B67" s="3" t="s">
        <v>99</v>
      </c>
      <c r="C67">
        <v>162.5</v>
      </c>
      <c r="D67">
        <v>8.5510000000000002</v>
      </c>
      <c r="F67" s="11">
        <v>65</v>
      </c>
      <c r="G67" s="12">
        <v>3.28</v>
      </c>
      <c r="H67" s="13">
        <v>15.916</v>
      </c>
      <c r="I67" s="13">
        <v>1.712</v>
      </c>
      <c r="L67" s="11"/>
      <c r="M67"/>
    </row>
    <row r="68" spans="1:13">
      <c r="A68" s="3">
        <f t="shared" si="2"/>
        <v>67</v>
      </c>
      <c r="B68" s="3" t="s">
        <v>100</v>
      </c>
      <c r="C68">
        <v>164.93</v>
      </c>
      <c r="D68">
        <v>8.7949999999999999</v>
      </c>
      <c r="F68" s="11">
        <v>66</v>
      </c>
      <c r="G68" s="12">
        <v>3.3</v>
      </c>
      <c r="H68" s="13">
        <v>15.840999999999999</v>
      </c>
      <c r="I68" s="13">
        <v>1.714</v>
      </c>
      <c r="L68" s="11"/>
      <c r="M68"/>
    </row>
    <row r="69" spans="1:13">
      <c r="A69" s="3">
        <f t="shared" si="2"/>
        <v>68</v>
      </c>
      <c r="B69" s="3" t="s">
        <v>101</v>
      </c>
      <c r="C69">
        <v>167.26</v>
      </c>
      <c r="D69">
        <v>9.0660000000000007</v>
      </c>
      <c r="F69" s="11">
        <v>67</v>
      </c>
      <c r="G69" s="12">
        <v>3.32</v>
      </c>
      <c r="H69" s="13">
        <v>15.766</v>
      </c>
      <c r="I69" s="13">
        <v>1.716</v>
      </c>
      <c r="L69" s="11"/>
      <c r="M69"/>
    </row>
    <row r="70" spans="1:13">
      <c r="A70" s="3">
        <f t="shared" si="2"/>
        <v>69</v>
      </c>
      <c r="B70" s="3" t="s">
        <v>102</v>
      </c>
      <c r="C70">
        <v>168.93</v>
      </c>
      <c r="D70">
        <v>9.3209999999999997</v>
      </c>
      <c r="F70" s="11">
        <v>68</v>
      </c>
      <c r="G70" s="12">
        <v>3.34</v>
      </c>
      <c r="H70" s="13">
        <v>15.691000000000001</v>
      </c>
      <c r="I70" s="13">
        <v>1.7189999999999999</v>
      </c>
      <c r="L70" s="11"/>
      <c r="M70"/>
    </row>
    <row r="71" spans="1:13">
      <c r="A71" s="3">
        <f t="shared" si="2"/>
        <v>70</v>
      </c>
      <c r="B71" s="3" t="s">
        <v>103</v>
      </c>
      <c r="C71">
        <v>173.04</v>
      </c>
      <c r="D71">
        <v>6.96</v>
      </c>
      <c r="F71" s="11">
        <v>69</v>
      </c>
      <c r="G71" s="12">
        <v>3.36</v>
      </c>
      <c r="H71" s="13">
        <v>15.618</v>
      </c>
      <c r="I71" s="13">
        <v>1.7209999999999999</v>
      </c>
      <c r="L71" s="11"/>
      <c r="M71"/>
    </row>
    <row r="72" spans="1:13">
      <c r="A72" s="3">
        <f t="shared" si="2"/>
        <v>71</v>
      </c>
      <c r="B72" s="3" t="s">
        <v>104</v>
      </c>
      <c r="C72">
        <v>174.97</v>
      </c>
      <c r="D72">
        <v>9.8409999999999993</v>
      </c>
      <c r="F72" s="11">
        <v>70</v>
      </c>
      <c r="G72" s="12">
        <v>3.38</v>
      </c>
      <c r="H72" s="13">
        <v>15.545</v>
      </c>
      <c r="I72" s="13">
        <v>1.7229999999999999</v>
      </c>
      <c r="L72" s="11"/>
      <c r="M72"/>
    </row>
    <row r="73" spans="1:13">
      <c r="A73" s="3">
        <f t="shared" si="2"/>
        <v>72</v>
      </c>
      <c r="B73" s="3" t="s">
        <v>105</v>
      </c>
      <c r="C73">
        <v>178.49</v>
      </c>
      <c r="D73">
        <v>13.31</v>
      </c>
      <c r="F73" s="11">
        <v>71</v>
      </c>
      <c r="G73" s="12">
        <v>3.4</v>
      </c>
      <c r="H73" s="13">
        <v>15.472</v>
      </c>
      <c r="I73" s="13">
        <v>1.7250000000000001</v>
      </c>
      <c r="L73" s="11"/>
      <c r="M73"/>
    </row>
    <row r="74" spans="1:13">
      <c r="A74" s="3">
        <f t="shared" si="2"/>
        <v>73</v>
      </c>
      <c r="B74" s="3" t="s">
        <v>106</v>
      </c>
      <c r="C74">
        <v>180.95</v>
      </c>
      <c r="D74">
        <v>16.600999999999999</v>
      </c>
      <c r="F74" s="11">
        <v>72</v>
      </c>
      <c r="G74" s="12">
        <v>3.42</v>
      </c>
      <c r="H74" s="13">
        <v>15.4</v>
      </c>
      <c r="I74" s="13">
        <v>1.7269999999999999</v>
      </c>
      <c r="L74" s="11"/>
      <c r="M74"/>
    </row>
    <row r="75" spans="1:13">
      <c r="A75" s="3">
        <f t="shared" si="2"/>
        <v>74</v>
      </c>
      <c r="B75" s="3" t="s">
        <v>107</v>
      </c>
      <c r="C75">
        <v>183.85</v>
      </c>
      <c r="D75">
        <v>19.350000000000001</v>
      </c>
      <c r="F75" s="11">
        <v>73</v>
      </c>
      <c r="G75" s="12">
        <v>3.44</v>
      </c>
      <c r="H75" s="13">
        <v>15.329000000000001</v>
      </c>
      <c r="I75" s="13">
        <v>1.7289999999999999</v>
      </c>
      <c r="L75" s="11"/>
      <c r="M75"/>
    </row>
    <row r="76" spans="1:13">
      <c r="A76" s="3">
        <f t="shared" si="2"/>
        <v>75</v>
      </c>
      <c r="B76" s="3" t="s">
        <v>108</v>
      </c>
      <c r="C76">
        <v>186.2</v>
      </c>
      <c r="D76">
        <v>20.53</v>
      </c>
      <c r="F76" s="11">
        <v>74</v>
      </c>
      <c r="G76" s="12">
        <v>3.46</v>
      </c>
      <c r="H76" s="13">
        <v>15.257999999999999</v>
      </c>
      <c r="I76" s="13">
        <v>1.7309999999999999</v>
      </c>
      <c r="L76" s="11"/>
      <c r="M76"/>
    </row>
    <row r="77" spans="1:13">
      <c r="A77" s="3">
        <f t="shared" si="2"/>
        <v>76</v>
      </c>
      <c r="B77" s="3" t="s">
        <v>109</v>
      </c>
      <c r="C77">
        <v>190.2</v>
      </c>
      <c r="D77">
        <v>22.48</v>
      </c>
      <c r="F77" s="11">
        <v>75</v>
      </c>
      <c r="G77" s="12">
        <v>3.48</v>
      </c>
      <c r="H77" s="13">
        <v>15.188000000000001</v>
      </c>
      <c r="I77" s="13">
        <v>1.7329999999999999</v>
      </c>
      <c r="L77" s="11"/>
      <c r="M77"/>
    </row>
    <row r="78" spans="1:13">
      <c r="A78" s="3">
        <f t="shared" si="2"/>
        <v>77</v>
      </c>
      <c r="B78" s="3" t="s">
        <v>110</v>
      </c>
      <c r="C78">
        <v>192.2</v>
      </c>
      <c r="D78">
        <v>22.420999999999999</v>
      </c>
      <c r="F78" s="11">
        <v>76</v>
      </c>
      <c r="G78" s="12">
        <v>3.5</v>
      </c>
      <c r="H78" s="13">
        <v>15.119</v>
      </c>
      <c r="I78" s="13">
        <v>1.7350000000000001</v>
      </c>
      <c r="L78" s="11"/>
      <c r="M78"/>
    </row>
    <row r="79" spans="1:13">
      <c r="A79" s="3">
        <f t="shared" si="2"/>
        <v>78</v>
      </c>
      <c r="B79" s="3" t="s">
        <v>111</v>
      </c>
      <c r="C79">
        <v>195.08</v>
      </c>
      <c r="D79">
        <v>21.45</v>
      </c>
      <c r="F79" s="11">
        <v>77</v>
      </c>
      <c r="G79" s="12">
        <v>3.52</v>
      </c>
      <c r="H79" s="13">
        <v>15.05</v>
      </c>
      <c r="I79" s="13">
        <v>1.7369999999999999</v>
      </c>
      <c r="L79" s="11"/>
      <c r="M79"/>
    </row>
    <row r="80" spans="1:13">
      <c r="A80" s="3">
        <f t="shared" si="2"/>
        <v>79</v>
      </c>
      <c r="B80" s="3" t="s">
        <v>112</v>
      </c>
      <c r="C80">
        <v>196.97</v>
      </c>
      <c r="D80">
        <v>19.311</v>
      </c>
      <c r="F80" s="11">
        <v>78</v>
      </c>
      <c r="G80" s="12">
        <v>3.54</v>
      </c>
      <c r="H80" s="13">
        <v>14.981</v>
      </c>
      <c r="I80" s="13">
        <v>1.7389999999999999</v>
      </c>
      <c r="L80" s="11"/>
      <c r="M80"/>
    </row>
    <row r="81" spans="1:13">
      <c r="A81" s="3">
        <f t="shared" si="2"/>
        <v>80</v>
      </c>
      <c r="B81" s="3" t="s">
        <v>113</v>
      </c>
      <c r="C81">
        <v>200.59</v>
      </c>
      <c r="D81">
        <v>13.546200000000001</v>
      </c>
      <c r="F81" s="11">
        <v>79</v>
      </c>
      <c r="G81" s="12">
        <v>3.56</v>
      </c>
      <c r="H81" s="13">
        <v>14.913</v>
      </c>
      <c r="I81" s="13">
        <v>1.7409999999999999</v>
      </c>
      <c r="L81" s="11"/>
      <c r="M81"/>
    </row>
    <row r="82" spans="1:13">
      <c r="A82" s="3">
        <f t="shared" si="2"/>
        <v>81</v>
      </c>
      <c r="B82" s="3" t="s">
        <v>114</v>
      </c>
      <c r="C82">
        <v>204.38</v>
      </c>
      <c r="D82">
        <v>11.85</v>
      </c>
      <c r="F82" s="11">
        <v>80</v>
      </c>
      <c r="G82" s="12">
        <v>3.58</v>
      </c>
      <c r="H82" s="13">
        <v>14.846</v>
      </c>
      <c r="I82" s="13">
        <v>1.7429999999999999</v>
      </c>
      <c r="L82" s="11"/>
      <c r="M82"/>
    </row>
    <row r="83" spans="1:13">
      <c r="A83" s="3">
        <f t="shared" si="2"/>
        <v>82</v>
      </c>
      <c r="B83" s="3" t="s">
        <v>115</v>
      </c>
      <c r="C83">
        <v>207.19</v>
      </c>
      <c r="D83">
        <v>11.3437</v>
      </c>
      <c r="F83" s="11">
        <v>81</v>
      </c>
      <c r="G83" s="12">
        <v>3.6</v>
      </c>
      <c r="H83" s="13">
        <v>14.779</v>
      </c>
      <c r="I83" s="13">
        <v>1.7450000000000001</v>
      </c>
      <c r="L83" s="11"/>
      <c r="M83"/>
    </row>
    <row r="84" spans="1:13">
      <c r="A84" s="3">
        <f t="shared" si="2"/>
        <v>83</v>
      </c>
      <c r="B84" s="3" t="s">
        <v>116</v>
      </c>
      <c r="C84">
        <v>208.98</v>
      </c>
      <c r="D84">
        <v>9.8000000000000007</v>
      </c>
      <c r="F84" s="11">
        <v>82</v>
      </c>
      <c r="G84" s="12">
        <v>3.62</v>
      </c>
      <c r="H84" s="13">
        <v>14.712999999999999</v>
      </c>
      <c r="I84" s="13">
        <v>1.746</v>
      </c>
      <c r="L84" s="11"/>
      <c r="M84"/>
    </row>
    <row r="85" spans="1:13">
      <c r="A85" s="3">
        <f t="shared" si="2"/>
        <v>84</v>
      </c>
      <c r="B85" s="3" t="s">
        <v>117</v>
      </c>
      <c r="C85">
        <v>210</v>
      </c>
      <c r="D85">
        <v>9.2510999999999992</v>
      </c>
      <c r="F85" s="11">
        <v>83</v>
      </c>
      <c r="G85" s="12">
        <v>3.64</v>
      </c>
      <c r="H85" s="13">
        <v>14.647</v>
      </c>
      <c r="I85" s="13">
        <v>1.748</v>
      </c>
      <c r="L85" s="11"/>
      <c r="M85"/>
    </row>
    <row r="86" spans="1:13">
      <c r="A86" s="3">
        <f t="shared" si="2"/>
        <v>85</v>
      </c>
      <c r="B86" s="3" t="s">
        <v>118</v>
      </c>
      <c r="C86">
        <v>210</v>
      </c>
      <c r="D86">
        <v>10</v>
      </c>
      <c r="F86" s="11">
        <v>84</v>
      </c>
      <c r="G86" s="12">
        <v>3.66</v>
      </c>
      <c r="H86" s="13">
        <v>14.582000000000001</v>
      </c>
      <c r="I86" s="13">
        <v>1.75</v>
      </c>
      <c r="L86" s="11"/>
      <c r="M86"/>
    </row>
    <row r="87" spans="1:13">
      <c r="A87" s="3">
        <f t="shared" si="2"/>
        <v>86</v>
      </c>
      <c r="B87" s="3" t="s">
        <v>119</v>
      </c>
      <c r="C87">
        <v>222</v>
      </c>
      <c r="D87">
        <v>9.91</v>
      </c>
      <c r="F87" s="11">
        <v>85</v>
      </c>
      <c r="G87" s="12">
        <v>3.68</v>
      </c>
      <c r="H87" s="13">
        <v>14.518000000000001</v>
      </c>
      <c r="I87" s="13">
        <v>1.752</v>
      </c>
      <c r="L87" s="11"/>
      <c r="M87"/>
    </row>
    <row r="88" spans="1:13">
      <c r="A88" s="3">
        <f t="shared" si="2"/>
        <v>87</v>
      </c>
      <c r="B88" s="3" t="s">
        <v>120</v>
      </c>
      <c r="C88">
        <v>223</v>
      </c>
      <c r="D88">
        <v>10</v>
      </c>
      <c r="F88" s="11">
        <v>86</v>
      </c>
      <c r="G88" s="12">
        <v>3.7</v>
      </c>
      <c r="H88" s="13">
        <v>14.454000000000001</v>
      </c>
      <c r="I88" s="13">
        <v>1.754</v>
      </c>
      <c r="L88" s="11"/>
      <c r="M88"/>
    </row>
    <row r="89" spans="1:13">
      <c r="A89" s="3">
        <f t="shared" si="2"/>
        <v>88</v>
      </c>
      <c r="B89" s="3" t="s">
        <v>121</v>
      </c>
      <c r="C89">
        <v>226</v>
      </c>
      <c r="D89">
        <v>5.0221999999999998</v>
      </c>
      <c r="F89" s="11">
        <v>87</v>
      </c>
      <c r="G89" s="12">
        <v>3.72</v>
      </c>
      <c r="H89" s="13">
        <v>14.39</v>
      </c>
      <c r="I89" s="13">
        <v>1.7549999999999999</v>
      </c>
      <c r="L89" s="11"/>
      <c r="M89"/>
    </row>
    <row r="90" spans="1:13">
      <c r="A90" s="3">
        <f t="shared" si="2"/>
        <v>89</v>
      </c>
      <c r="B90" s="3" t="s">
        <v>122</v>
      </c>
      <c r="C90">
        <v>227</v>
      </c>
      <c r="D90">
        <v>10</v>
      </c>
      <c r="F90" s="11">
        <v>88</v>
      </c>
      <c r="G90" s="12">
        <v>3.74</v>
      </c>
      <c r="H90" s="13">
        <v>14.327</v>
      </c>
      <c r="I90" s="13">
        <v>1.7569999999999999</v>
      </c>
      <c r="L90" s="11"/>
      <c r="M90"/>
    </row>
    <row r="91" spans="1:13">
      <c r="A91" s="3">
        <f t="shared" si="2"/>
        <v>90</v>
      </c>
      <c r="B91" s="3" t="s">
        <v>123</v>
      </c>
      <c r="C91">
        <v>232</v>
      </c>
      <c r="D91">
        <v>11.657999999999999</v>
      </c>
      <c r="F91" s="11">
        <v>89</v>
      </c>
      <c r="G91" s="12">
        <v>3.76</v>
      </c>
      <c r="H91" s="13">
        <v>14.263999999999999</v>
      </c>
      <c r="I91" s="13">
        <v>1.7589999999999999</v>
      </c>
      <c r="L91" s="11"/>
      <c r="M91"/>
    </row>
    <row r="92" spans="1:13">
      <c r="A92" s="3">
        <f t="shared" si="2"/>
        <v>91</v>
      </c>
      <c r="B92" s="3" t="s">
        <v>124</v>
      </c>
      <c r="C92">
        <v>231</v>
      </c>
      <c r="D92">
        <v>15.37</v>
      </c>
      <c r="F92" s="11">
        <v>90</v>
      </c>
      <c r="G92" s="12">
        <v>3.78</v>
      </c>
      <c r="H92" s="13">
        <v>14.202</v>
      </c>
      <c r="I92" s="13">
        <v>1.76</v>
      </c>
      <c r="L92" s="11"/>
      <c r="M92"/>
    </row>
    <row r="93" spans="1:13">
      <c r="A93" s="3">
        <f t="shared" si="2"/>
        <v>92</v>
      </c>
      <c r="B93" s="3" t="s">
        <v>125</v>
      </c>
      <c r="C93">
        <v>238.03</v>
      </c>
      <c r="D93">
        <v>19.042999999999999</v>
      </c>
      <c r="F93" s="11">
        <v>91</v>
      </c>
      <c r="G93" s="12">
        <v>3.8</v>
      </c>
      <c r="H93" s="13">
        <v>14.141</v>
      </c>
      <c r="I93" s="13">
        <v>1.762</v>
      </c>
      <c r="L93" s="11"/>
      <c r="M93"/>
    </row>
    <row r="94" spans="1:13">
      <c r="A94" s="3">
        <f t="shared" si="2"/>
        <v>93</v>
      </c>
      <c r="B94" s="3" t="s">
        <v>126</v>
      </c>
      <c r="C94">
        <v>239</v>
      </c>
      <c r="D94">
        <v>19.042999999999999</v>
      </c>
      <c r="F94" s="11">
        <v>92</v>
      </c>
      <c r="G94" s="12">
        <v>3.82</v>
      </c>
      <c r="H94" s="13">
        <v>14.08</v>
      </c>
      <c r="I94" s="13">
        <v>1.764</v>
      </c>
      <c r="L94" s="11"/>
      <c r="M94"/>
    </row>
    <row r="95" spans="1:13">
      <c r="A95" s="3">
        <f t="shared" si="2"/>
        <v>94</v>
      </c>
      <c r="B95" s="3" t="s">
        <v>127</v>
      </c>
      <c r="C95">
        <v>239</v>
      </c>
      <c r="D95">
        <v>19.042999999999999</v>
      </c>
      <c r="F95" s="11">
        <v>93</v>
      </c>
      <c r="G95" s="12">
        <v>3.84</v>
      </c>
      <c r="H95" s="13">
        <v>14.019</v>
      </c>
      <c r="I95" s="13">
        <v>1.7649999999999999</v>
      </c>
      <c r="L95" s="11"/>
      <c r="M95"/>
    </row>
    <row r="96" spans="1:13">
      <c r="A96" s="3">
        <f t="shared" si="2"/>
        <v>95</v>
      </c>
      <c r="B96" s="3" t="s">
        <v>128</v>
      </c>
      <c r="C96">
        <v>243</v>
      </c>
      <c r="D96">
        <v>19.042999999999999</v>
      </c>
      <c r="F96" s="11">
        <v>94</v>
      </c>
      <c r="G96" s="12">
        <v>3.86</v>
      </c>
      <c r="H96" s="13">
        <v>13.959</v>
      </c>
      <c r="I96" s="13">
        <v>1.7669999999999999</v>
      </c>
      <c r="L96" s="11"/>
      <c r="M96"/>
    </row>
    <row r="97" spans="1:13">
      <c r="A97" s="3">
        <f t="shared" si="2"/>
        <v>96</v>
      </c>
      <c r="B97" s="3" t="s">
        <v>129</v>
      </c>
      <c r="C97">
        <v>245</v>
      </c>
      <c r="D97">
        <v>19.042999999999999</v>
      </c>
      <c r="F97" s="11">
        <v>95</v>
      </c>
      <c r="G97" s="12">
        <v>3.88</v>
      </c>
      <c r="H97" s="13">
        <v>13.898999999999999</v>
      </c>
      <c r="I97" s="13">
        <v>1.768</v>
      </c>
      <c r="L97" s="11"/>
      <c r="M97"/>
    </row>
    <row r="98" spans="1:13">
      <c r="A98" s="3">
        <f t="shared" si="2"/>
        <v>97</v>
      </c>
      <c r="B98" s="3" t="s">
        <v>130</v>
      </c>
      <c r="C98">
        <v>248</v>
      </c>
      <c r="D98">
        <v>19.042999999999999</v>
      </c>
      <c r="F98" s="11">
        <v>96</v>
      </c>
      <c r="G98" s="12">
        <v>3.9</v>
      </c>
      <c r="H98" s="13">
        <v>13.84</v>
      </c>
      <c r="I98" s="13">
        <v>1.77</v>
      </c>
      <c r="L98" s="11"/>
      <c r="M98"/>
    </row>
    <row r="99" spans="1:13">
      <c r="A99" s="3">
        <f t="shared" ref="A99:A162" si="3">1+A98</f>
        <v>98</v>
      </c>
      <c r="B99" s="3" t="s">
        <v>131</v>
      </c>
      <c r="C99">
        <v>249</v>
      </c>
      <c r="D99">
        <v>19.042999999999999</v>
      </c>
      <c r="F99" s="11">
        <v>97</v>
      </c>
      <c r="G99" s="12">
        <v>3.92</v>
      </c>
      <c r="H99" s="13">
        <v>13.781000000000001</v>
      </c>
      <c r="I99" s="13">
        <v>1.7709999999999999</v>
      </c>
      <c r="L99" s="11"/>
      <c r="M99"/>
    </row>
    <row r="100" spans="1:13">
      <c r="A100" s="3">
        <f t="shared" si="3"/>
        <v>99</v>
      </c>
      <c r="B100" s="3" t="s">
        <v>132</v>
      </c>
      <c r="C100">
        <v>254</v>
      </c>
      <c r="D100">
        <v>19.042999999999999</v>
      </c>
      <c r="F100" s="11">
        <v>98</v>
      </c>
      <c r="G100" s="12">
        <v>3.94</v>
      </c>
      <c r="H100" s="13">
        <v>13.723000000000001</v>
      </c>
      <c r="I100" s="13">
        <v>1.7729999999999999</v>
      </c>
      <c r="L100" s="11"/>
      <c r="M100"/>
    </row>
    <row r="101" spans="1:13">
      <c r="A101" s="3">
        <f t="shared" si="3"/>
        <v>100</v>
      </c>
      <c r="B101" s="3" t="s">
        <v>133</v>
      </c>
      <c r="C101">
        <v>252</v>
      </c>
      <c r="D101">
        <v>19.042999999999999</v>
      </c>
      <c r="F101" s="11">
        <v>99</v>
      </c>
      <c r="G101" s="12">
        <v>3.96</v>
      </c>
      <c r="H101" s="13">
        <v>13.664999999999999</v>
      </c>
      <c r="I101" s="13">
        <v>1.774</v>
      </c>
      <c r="L101" s="11"/>
      <c r="M101"/>
    </row>
    <row r="102" spans="1:13">
      <c r="A102" s="3">
        <f t="shared" si="3"/>
        <v>101</v>
      </c>
      <c r="B102" s="3" t="s">
        <v>134</v>
      </c>
      <c r="C102">
        <v>255</v>
      </c>
      <c r="D102">
        <v>19.042999999999999</v>
      </c>
      <c r="F102" s="11">
        <v>100</v>
      </c>
      <c r="G102" s="12">
        <v>3.98</v>
      </c>
      <c r="H102" s="13">
        <v>13.606999999999999</v>
      </c>
      <c r="I102" s="13">
        <v>1.776</v>
      </c>
      <c r="L102" s="11"/>
      <c r="M102"/>
    </row>
    <row r="103" spans="1:13">
      <c r="A103" s="3">
        <f t="shared" si="3"/>
        <v>102</v>
      </c>
      <c r="B103" s="3" t="s">
        <v>135</v>
      </c>
      <c r="C103">
        <v>254</v>
      </c>
      <c r="D103">
        <v>19.042999999999999</v>
      </c>
      <c r="F103" s="11">
        <v>101</v>
      </c>
      <c r="G103" s="12">
        <v>4</v>
      </c>
      <c r="H103" s="13">
        <v>13.551</v>
      </c>
      <c r="I103" s="13">
        <v>1.7769999999999999</v>
      </c>
      <c r="L103" s="11"/>
      <c r="M103"/>
    </row>
    <row r="104" spans="1:13">
      <c r="A104" s="3">
        <f t="shared" si="3"/>
        <v>103</v>
      </c>
      <c r="B104" s="3" t="s">
        <v>136</v>
      </c>
      <c r="C104">
        <v>257</v>
      </c>
      <c r="D104">
        <v>19.042999999999999</v>
      </c>
      <c r="F104" s="11">
        <v>102</v>
      </c>
      <c r="G104" s="12">
        <v>4.0199999999999996</v>
      </c>
      <c r="H104" s="13">
        <v>13.494</v>
      </c>
      <c r="I104" s="13">
        <v>1.7789999999999999</v>
      </c>
      <c r="L104" s="11"/>
      <c r="M104"/>
    </row>
    <row r="105" spans="1:13">
      <c r="A105" s="3">
        <f t="shared" si="3"/>
        <v>104</v>
      </c>
      <c r="B105" s="3" t="s">
        <v>137</v>
      </c>
      <c r="C105">
        <v>260</v>
      </c>
      <c r="D105">
        <v>19.042999999999999</v>
      </c>
      <c r="F105" s="11">
        <v>103</v>
      </c>
      <c r="G105" s="12">
        <v>4.04</v>
      </c>
      <c r="H105" s="13">
        <v>13.438000000000001</v>
      </c>
      <c r="I105" s="13">
        <v>1.78</v>
      </c>
      <c r="L105" s="11"/>
      <c r="M105"/>
    </row>
    <row r="106" spans="1:13">
      <c r="A106" s="3">
        <f t="shared" si="3"/>
        <v>105</v>
      </c>
      <c r="B106" s="3" t="s">
        <v>138</v>
      </c>
      <c r="C106">
        <v>262</v>
      </c>
      <c r="D106">
        <v>19.042999999999999</v>
      </c>
      <c r="F106" s="11">
        <v>104</v>
      </c>
      <c r="G106" s="12">
        <v>4.0599999999999996</v>
      </c>
      <c r="H106" s="13">
        <v>13.382</v>
      </c>
      <c r="I106" s="13">
        <v>1.782</v>
      </c>
      <c r="L106" s="11"/>
      <c r="M106"/>
    </row>
    <row r="107" spans="1:13">
      <c r="A107" s="3">
        <f t="shared" si="3"/>
        <v>106</v>
      </c>
      <c r="B107" s="3" t="s">
        <v>139</v>
      </c>
      <c r="C107">
        <v>265</v>
      </c>
      <c r="D107">
        <v>19.042999999999999</v>
      </c>
      <c r="F107" s="11">
        <v>105</v>
      </c>
      <c r="G107" s="12">
        <v>4.08</v>
      </c>
      <c r="H107" s="13">
        <v>13.327</v>
      </c>
      <c r="I107" s="13">
        <v>1.7829999999999999</v>
      </c>
      <c r="L107" s="11"/>
      <c r="M107"/>
    </row>
    <row r="108" spans="1:13">
      <c r="A108" s="3">
        <f t="shared" si="3"/>
        <v>107</v>
      </c>
      <c r="B108" s="3" t="s">
        <v>140</v>
      </c>
      <c r="C108">
        <v>267</v>
      </c>
      <c r="D108">
        <v>19.042999999999999</v>
      </c>
      <c r="F108" s="11">
        <v>106</v>
      </c>
      <c r="G108" s="12">
        <v>4.0999999999999996</v>
      </c>
      <c r="H108" s="13">
        <v>13.272</v>
      </c>
      <c r="I108" s="13">
        <v>1.784</v>
      </c>
      <c r="L108" s="11"/>
      <c r="M108"/>
    </row>
    <row r="109" spans="1:13">
      <c r="A109" s="3">
        <f t="shared" si="3"/>
        <v>108</v>
      </c>
      <c r="B109" s="3" t="s">
        <v>141</v>
      </c>
      <c r="C109">
        <v>270</v>
      </c>
      <c r="D109">
        <v>19.042999999999999</v>
      </c>
      <c r="F109" s="11">
        <v>107</v>
      </c>
      <c r="G109" s="12">
        <v>4.12</v>
      </c>
      <c r="H109" s="13">
        <v>13.218</v>
      </c>
      <c r="I109" s="13">
        <v>1.786</v>
      </c>
      <c r="L109" s="11"/>
      <c r="M109"/>
    </row>
    <row r="110" spans="1:13">
      <c r="A110" s="3">
        <f t="shared" si="3"/>
        <v>109</v>
      </c>
      <c r="B110" s="3" t="s">
        <v>142</v>
      </c>
      <c r="C110">
        <v>272</v>
      </c>
      <c r="D110">
        <v>19.042999999999999</v>
      </c>
      <c r="F110" s="11">
        <v>108</v>
      </c>
      <c r="G110" s="12">
        <v>4.1399999999999997</v>
      </c>
      <c r="H110" s="13">
        <v>13.164</v>
      </c>
      <c r="I110" s="13">
        <v>1.7869999999999999</v>
      </c>
      <c r="L110" s="11"/>
      <c r="M110"/>
    </row>
    <row r="111" spans="1:13">
      <c r="A111" s="3">
        <f t="shared" si="3"/>
        <v>110</v>
      </c>
      <c r="B111" s="19" t="s">
        <v>223</v>
      </c>
      <c r="C111">
        <v>275</v>
      </c>
      <c r="D111">
        <v>19.042999999999999</v>
      </c>
      <c r="F111" s="11">
        <v>109</v>
      </c>
      <c r="G111" s="12">
        <v>4.16</v>
      </c>
      <c r="H111" s="13">
        <v>13.11</v>
      </c>
      <c r="I111" s="13">
        <v>1.788</v>
      </c>
      <c r="L111" s="11"/>
      <c r="M111"/>
    </row>
    <row r="112" spans="1:13">
      <c r="A112" s="3">
        <f t="shared" si="3"/>
        <v>111</v>
      </c>
      <c r="B112" s="19" t="s">
        <v>224</v>
      </c>
      <c r="C112">
        <v>277</v>
      </c>
      <c r="D112">
        <v>19.042999999999999</v>
      </c>
      <c r="F112" s="11">
        <v>110</v>
      </c>
      <c r="G112" s="12">
        <v>4.18</v>
      </c>
      <c r="H112" s="13">
        <v>13.057</v>
      </c>
      <c r="I112" s="13">
        <v>1.79</v>
      </c>
      <c r="L112" s="11"/>
      <c r="M112"/>
    </row>
    <row r="113" spans="1:13">
      <c r="A113" s="3">
        <f t="shared" si="3"/>
        <v>112</v>
      </c>
      <c r="B113" s="19" t="s">
        <v>225</v>
      </c>
      <c r="C113">
        <v>280</v>
      </c>
      <c r="D113">
        <v>19.042999999999999</v>
      </c>
      <c r="F113" s="11">
        <v>111</v>
      </c>
      <c r="G113" s="12">
        <v>4.2</v>
      </c>
      <c r="H113" s="13">
        <v>13.004</v>
      </c>
      <c r="I113" s="13">
        <v>1.7909999999999999</v>
      </c>
      <c r="L113" s="11"/>
      <c r="M113"/>
    </row>
    <row r="114" spans="1:13">
      <c r="A114" s="3">
        <f t="shared" si="3"/>
        <v>113</v>
      </c>
      <c r="B114" s="19" t="s">
        <v>226</v>
      </c>
      <c r="C114">
        <v>282</v>
      </c>
      <c r="D114">
        <v>19.042999999999999</v>
      </c>
      <c r="F114" s="11">
        <v>112</v>
      </c>
      <c r="G114" s="12">
        <v>4.22</v>
      </c>
      <c r="H114" s="13">
        <v>12.951000000000001</v>
      </c>
      <c r="I114" s="13">
        <v>1.792</v>
      </c>
      <c r="L114" s="11"/>
      <c r="M114"/>
    </row>
    <row r="115" spans="1:13">
      <c r="A115" s="3">
        <f t="shared" si="3"/>
        <v>114</v>
      </c>
      <c r="B115" s="19" t="s">
        <v>227</v>
      </c>
      <c r="C115">
        <v>285</v>
      </c>
      <c r="D115">
        <v>19.042999999999999</v>
      </c>
      <c r="F115" s="11">
        <v>113</v>
      </c>
      <c r="G115" s="12">
        <v>4.24</v>
      </c>
      <c r="H115" s="13">
        <v>12.898999999999999</v>
      </c>
      <c r="I115" s="13">
        <v>1.7929999999999999</v>
      </c>
      <c r="L115" s="11"/>
      <c r="M115"/>
    </row>
    <row r="116" spans="1:13">
      <c r="A116" s="3">
        <f t="shared" si="3"/>
        <v>115</v>
      </c>
      <c r="B116" s="19" t="s">
        <v>228</v>
      </c>
      <c r="C116">
        <v>287</v>
      </c>
      <c r="D116">
        <v>19.042999999999999</v>
      </c>
      <c r="F116" s="11">
        <v>114</v>
      </c>
      <c r="G116" s="12">
        <v>4.26</v>
      </c>
      <c r="H116" s="13">
        <v>12.847</v>
      </c>
      <c r="I116" s="13">
        <v>1.7949999999999999</v>
      </c>
      <c r="L116" s="11"/>
      <c r="M116"/>
    </row>
    <row r="117" spans="1:13">
      <c r="A117" s="3">
        <f t="shared" si="3"/>
        <v>116</v>
      </c>
      <c r="B117" s="19" t="s">
        <v>229</v>
      </c>
      <c r="C117">
        <v>290</v>
      </c>
      <c r="D117">
        <v>19.042999999999999</v>
      </c>
      <c r="F117" s="11">
        <v>115</v>
      </c>
      <c r="G117" s="12">
        <v>4.28</v>
      </c>
      <c r="H117" s="13">
        <v>12.795999999999999</v>
      </c>
      <c r="I117" s="13">
        <v>1.7959999999999998</v>
      </c>
      <c r="L117" s="11"/>
      <c r="M117"/>
    </row>
    <row r="118" spans="1:13">
      <c r="A118" s="3">
        <f t="shared" si="3"/>
        <v>117</v>
      </c>
      <c r="B118" s="19" t="s">
        <v>230</v>
      </c>
      <c r="C118">
        <v>292</v>
      </c>
      <c r="D118">
        <v>19.042999999999999</v>
      </c>
      <c r="F118" s="11">
        <v>116</v>
      </c>
      <c r="G118" s="12">
        <v>4.3</v>
      </c>
      <c r="H118" s="13">
        <v>12.744999999999999</v>
      </c>
      <c r="I118" s="13">
        <v>1.7969999999999997</v>
      </c>
      <c r="L118" s="11"/>
      <c r="M118"/>
    </row>
    <row r="119" spans="1:13">
      <c r="A119" s="3">
        <f t="shared" si="3"/>
        <v>118</v>
      </c>
      <c r="B119" s="19" t="s">
        <v>231</v>
      </c>
      <c r="C119">
        <v>295</v>
      </c>
      <c r="D119">
        <v>19.042999999999999</v>
      </c>
      <c r="F119" s="11">
        <v>117</v>
      </c>
      <c r="G119" s="12">
        <v>4.319999999999995</v>
      </c>
      <c r="H119" s="13">
        <v>12.695</v>
      </c>
      <c r="I119" s="13">
        <v>1.7979999999999996</v>
      </c>
      <c r="L119" s="11"/>
      <c r="M119"/>
    </row>
    <row r="120" spans="1:13">
      <c r="A120" s="3">
        <f t="shared" si="3"/>
        <v>119</v>
      </c>
      <c r="B120" s="3" t="s">
        <v>143</v>
      </c>
      <c r="C120">
        <v>297</v>
      </c>
      <c r="D120">
        <v>19.042999999999999</v>
      </c>
      <c r="F120" s="11">
        <v>118</v>
      </c>
      <c r="G120" s="12">
        <v>4.3399999999999945</v>
      </c>
      <c r="H120" s="13">
        <v>12.644</v>
      </c>
      <c r="I120" s="13">
        <v>1.7989999999999995</v>
      </c>
      <c r="L120" s="11"/>
      <c r="M120"/>
    </row>
    <row r="121" spans="1:13">
      <c r="A121" s="3">
        <f t="shared" si="3"/>
        <v>120</v>
      </c>
      <c r="B121" s="3" t="s">
        <v>144</v>
      </c>
      <c r="C121">
        <v>300</v>
      </c>
      <c r="D121">
        <v>19.042999999999999</v>
      </c>
      <c r="F121" s="11">
        <v>119</v>
      </c>
      <c r="G121" s="12">
        <v>4.3599999999999941</v>
      </c>
      <c r="H121" s="13">
        <v>12.593999999999999</v>
      </c>
      <c r="I121" s="13">
        <v>1.8009999999999999</v>
      </c>
      <c r="L121" s="11"/>
      <c r="M121"/>
    </row>
    <row r="122" spans="1:13">
      <c r="A122" s="3">
        <f t="shared" si="3"/>
        <v>121</v>
      </c>
      <c r="B122" s="3" t="s">
        <v>145</v>
      </c>
      <c r="C122">
        <v>302</v>
      </c>
      <c r="D122">
        <v>19.042999999999999</v>
      </c>
      <c r="F122" s="11">
        <v>120</v>
      </c>
      <c r="G122" s="12">
        <v>4.3799999999999937</v>
      </c>
      <c r="H122" s="13">
        <v>12.545</v>
      </c>
      <c r="I122" s="13">
        <v>1.8019999999999998</v>
      </c>
      <c r="L122" s="11"/>
      <c r="M122"/>
    </row>
    <row r="123" spans="1:13">
      <c r="A123" s="3">
        <f t="shared" si="3"/>
        <v>122</v>
      </c>
      <c r="B123" s="3" t="s">
        <v>146</v>
      </c>
      <c r="C123">
        <v>305</v>
      </c>
      <c r="D123">
        <v>19.042999999999999</v>
      </c>
      <c r="F123" s="11">
        <v>121</v>
      </c>
      <c r="G123" s="12">
        <v>4.3999999999999932</v>
      </c>
      <c r="H123" s="13">
        <v>12.496</v>
      </c>
      <c r="I123" s="13">
        <v>1.8029999999999997</v>
      </c>
      <c r="L123" s="11"/>
      <c r="M123"/>
    </row>
    <row r="124" spans="1:13">
      <c r="A124" s="3">
        <f t="shared" si="3"/>
        <v>123</v>
      </c>
      <c r="B124" s="3" t="s">
        <v>147</v>
      </c>
      <c r="C124">
        <v>307</v>
      </c>
      <c r="D124">
        <v>19.042999999999999</v>
      </c>
      <c r="F124" s="11">
        <v>122</v>
      </c>
      <c r="G124" s="12">
        <v>4.4199999999999928</v>
      </c>
      <c r="H124" s="13">
        <v>12.446999999999999</v>
      </c>
      <c r="I124" s="13">
        <v>1.8039999999999996</v>
      </c>
      <c r="L124" s="11"/>
      <c r="M124"/>
    </row>
    <row r="125" spans="1:13">
      <c r="A125" s="3">
        <f t="shared" si="3"/>
        <v>124</v>
      </c>
      <c r="B125" s="3" t="s">
        <v>148</v>
      </c>
      <c r="C125">
        <v>310</v>
      </c>
      <c r="D125">
        <v>19.042999999999999</v>
      </c>
      <c r="F125" s="11">
        <v>123</v>
      </c>
      <c r="G125" s="12">
        <v>4.4399999999999924</v>
      </c>
      <c r="H125" s="13">
        <v>12.398</v>
      </c>
      <c r="I125" s="13">
        <v>1.8049999999999999</v>
      </c>
      <c r="L125" s="11"/>
      <c r="M125"/>
    </row>
    <row r="126" spans="1:13">
      <c r="A126" s="3">
        <f t="shared" si="3"/>
        <v>125</v>
      </c>
      <c r="B126" s="3" t="s">
        <v>149</v>
      </c>
      <c r="C126">
        <v>312</v>
      </c>
      <c r="D126">
        <v>19.042999999999999</v>
      </c>
      <c r="F126" s="11">
        <v>124</v>
      </c>
      <c r="G126" s="12">
        <v>4.459999999999992</v>
      </c>
      <c r="H126" s="13">
        <v>12.35</v>
      </c>
      <c r="I126" s="13">
        <v>1.8059999999999994</v>
      </c>
      <c r="L126" s="11"/>
      <c r="M126"/>
    </row>
    <row r="127" spans="1:13">
      <c r="A127" s="3">
        <f t="shared" si="3"/>
        <v>126</v>
      </c>
      <c r="B127" s="3" t="s">
        <v>150</v>
      </c>
      <c r="C127">
        <v>315</v>
      </c>
      <c r="D127">
        <v>19.042999999999999</v>
      </c>
      <c r="F127" s="11">
        <v>125</v>
      </c>
      <c r="G127" s="12">
        <v>4.4799999999999915</v>
      </c>
      <c r="H127" s="13">
        <v>12.302</v>
      </c>
      <c r="I127" s="13">
        <v>1.8069999999999993</v>
      </c>
      <c r="L127" s="11"/>
      <c r="M127"/>
    </row>
    <row r="128" spans="1:13">
      <c r="A128" s="3">
        <f t="shared" si="3"/>
        <v>127</v>
      </c>
      <c r="B128" s="3" t="s">
        <v>151</v>
      </c>
      <c r="C128">
        <v>317</v>
      </c>
      <c r="D128">
        <v>19.042999999999999</v>
      </c>
      <c r="F128" s="11">
        <v>126</v>
      </c>
      <c r="G128" s="12">
        <v>4.4999999999999911</v>
      </c>
      <c r="H128" s="13">
        <v>12.255000000000001</v>
      </c>
      <c r="I128" s="13">
        <v>1.8079999999999992</v>
      </c>
      <c r="L128" s="11"/>
      <c r="M128"/>
    </row>
    <row r="129" spans="1:13">
      <c r="A129" s="3">
        <f t="shared" si="3"/>
        <v>128</v>
      </c>
      <c r="B129" s="3" t="s">
        <v>152</v>
      </c>
      <c r="C129">
        <v>320</v>
      </c>
      <c r="D129">
        <v>19.042999999999999</v>
      </c>
      <c r="F129" s="11">
        <v>127</v>
      </c>
      <c r="G129" s="12">
        <v>4.5199999999999907</v>
      </c>
      <c r="H129" s="13">
        <v>12.208</v>
      </c>
      <c r="I129" s="13">
        <v>1.8089999999999991</v>
      </c>
      <c r="L129" s="11"/>
      <c r="M129"/>
    </row>
    <row r="130" spans="1:13">
      <c r="A130" s="3">
        <f t="shared" si="3"/>
        <v>129</v>
      </c>
      <c r="B130" s="3" t="s">
        <v>153</v>
      </c>
      <c r="C130">
        <v>322</v>
      </c>
      <c r="D130">
        <v>19.042999999999999</v>
      </c>
      <c r="F130" s="11">
        <v>128</v>
      </c>
      <c r="G130" s="12">
        <v>4.5399999999999903</v>
      </c>
      <c r="H130" s="13">
        <v>12.161</v>
      </c>
      <c r="I130" s="13">
        <v>1.81</v>
      </c>
      <c r="L130" s="11"/>
      <c r="M130"/>
    </row>
    <row r="131" spans="1:13">
      <c r="A131" s="3">
        <f t="shared" si="3"/>
        <v>130</v>
      </c>
      <c r="B131" s="3" t="s">
        <v>154</v>
      </c>
      <c r="C131">
        <v>325</v>
      </c>
      <c r="D131">
        <v>19.042999999999999</v>
      </c>
      <c r="F131" s="11">
        <v>129</v>
      </c>
      <c r="G131" s="12">
        <v>4.5599999999999898</v>
      </c>
      <c r="H131" s="13">
        <v>12.115</v>
      </c>
      <c r="I131" s="13">
        <v>1.8109999999999988</v>
      </c>
      <c r="L131" s="11"/>
      <c r="M131"/>
    </row>
    <row r="132" spans="1:13">
      <c r="A132" s="3">
        <f t="shared" si="3"/>
        <v>131</v>
      </c>
      <c r="B132" s="3" t="s">
        <v>155</v>
      </c>
      <c r="C132">
        <v>332</v>
      </c>
      <c r="D132">
        <v>19.042999999999999</v>
      </c>
      <c r="F132" s="11">
        <v>130</v>
      </c>
      <c r="G132" s="12">
        <v>4.5799999999999894</v>
      </c>
      <c r="H132" s="13">
        <v>12.068</v>
      </c>
      <c r="I132" s="13">
        <v>1.8119999999999987</v>
      </c>
      <c r="L132" s="11"/>
      <c r="M132"/>
    </row>
    <row r="133" spans="1:13">
      <c r="A133" s="3">
        <f t="shared" si="3"/>
        <v>132</v>
      </c>
      <c r="B133" s="3" t="s">
        <v>156</v>
      </c>
      <c r="C133">
        <v>335</v>
      </c>
      <c r="D133">
        <v>19.042999999999999</v>
      </c>
      <c r="F133" s="11">
        <v>131</v>
      </c>
      <c r="G133" s="12">
        <v>4.599999999999989</v>
      </c>
      <c r="H133" s="13">
        <v>12.023</v>
      </c>
      <c r="I133" s="13">
        <v>1.8129999999999986</v>
      </c>
      <c r="L133" s="11"/>
      <c r="M133"/>
    </row>
    <row r="134" spans="1:13">
      <c r="A134" s="3">
        <f t="shared" si="3"/>
        <v>133</v>
      </c>
      <c r="B134" s="3" t="s">
        <v>157</v>
      </c>
      <c r="C134">
        <v>337</v>
      </c>
      <c r="D134">
        <v>19.042999999999999</v>
      </c>
      <c r="F134" s="11">
        <v>132</v>
      </c>
      <c r="G134" s="12">
        <v>4.6199999999999886</v>
      </c>
      <c r="H134" s="13">
        <v>11.977</v>
      </c>
      <c r="I134" s="13">
        <v>1.8139999999999985</v>
      </c>
      <c r="L134" s="11"/>
      <c r="M134"/>
    </row>
    <row r="135" spans="1:13">
      <c r="A135" s="3">
        <f t="shared" si="3"/>
        <v>134</v>
      </c>
      <c r="B135" s="3" t="s">
        <v>158</v>
      </c>
      <c r="C135">
        <v>340</v>
      </c>
      <c r="D135">
        <v>19.042999999999999</v>
      </c>
      <c r="F135" s="11">
        <v>133</v>
      </c>
      <c r="G135" s="12">
        <v>4.6399999999999881</v>
      </c>
      <c r="H135" s="13">
        <v>11.932</v>
      </c>
      <c r="I135" s="13">
        <v>1.8149999999999999</v>
      </c>
      <c r="L135" s="11"/>
      <c r="M135"/>
    </row>
    <row r="136" spans="1:13">
      <c r="A136" s="3">
        <f t="shared" si="3"/>
        <v>135</v>
      </c>
      <c r="B136" s="3" t="s">
        <v>159</v>
      </c>
      <c r="C136">
        <v>342</v>
      </c>
      <c r="D136">
        <v>19.042999999999999</v>
      </c>
      <c r="F136" s="11">
        <v>134</v>
      </c>
      <c r="G136" s="12">
        <v>4.6599999999999877</v>
      </c>
      <c r="H136" s="13">
        <v>11.887</v>
      </c>
      <c r="I136" s="13">
        <v>1.8159999999999983</v>
      </c>
      <c r="L136" s="11"/>
      <c r="M136"/>
    </row>
    <row r="137" spans="1:13">
      <c r="A137" s="3">
        <f t="shared" si="3"/>
        <v>136</v>
      </c>
      <c r="B137" s="3" t="s">
        <v>160</v>
      </c>
      <c r="C137">
        <v>345</v>
      </c>
      <c r="D137">
        <v>19.042999999999999</v>
      </c>
      <c r="F137" s="11">
        <v>135</v>
      </c>
      <c r="G137" s="12">
        <v>4.6799999999999873</v>
      </c>
      <c r="H137" s="13">
        <v>11.842000000000001</v>
      </c>
      <c r="I137" s="13">
        <v>1.8169999999999982</v>
      </c>
      <c r="L137" s="11"/>
      <c r="M137"/>
    </row>
    <row r="138" spans="1:13">
      <c r="A138" s="3">
        <f t="shared" si="3"/>
        <v>137</v>
      </c>
      <c r="B138" s="3" t="s">
        <v>161</v>
      </c>
      <c r="C138">
        <v>347</v>
      </c>
      <c r="D138">
        <v>19.042999999999999</v>
      </c>
      <c r="F138" s="11">
        <v>136</v>
      </c>
      <c r="G138" s="12">
        <v>4.6999999999999869</v>
      </c>
      <c r="H138" s="13">
        <v>11.798</v>
      </c>
      <c r="I138" s="13">
        <v>1.8179999999999981</v>
      </c>
      <c r="L138" s="11"/>
      <c r="M138"/>
    </row>
    <row r="139" spans="1:13">
      <c r="A139" s="3">
        <f t="shared" si="3"/>
        <v>138</v>
      </c>
      <c r="B139" s="3" t="s">
        <v>162</v>
      </c>
      <c r="C139">
        <v>350</v>
      </c>
      <c r="D139">
        <v>19.042999999999999</v>
      </c>
      <c r="F139" s="11">
        <v>137</v>
      </c>
      <c r="G139" s="12">
        <v>4.7199999999999864</v>
      </c>
      <c r="H139" s="13">
        <v>11.754</v>
      </c>
      <c r="I139" s="13">
        <v>1.818999999999998</v>
      </c>
      <c r="L139" s="11"/>
      <c r="M139"/>
    </row>
    <row r="140" spans="1:13">
      <c r="A140" s="3">
        <f t="shared" si="3"/>
        <v>139</v>
      </c>
      <c r="B140" s="3" t="s">
        <v>163</v>
      </c>
      <c r="C140">
        <v>352</v>
      </c>
      <c r="D140">
        <v>19.042999999999999</v>
      </c>
      <c r="F140" s="11">
        <v>138</v>
      </c>
      <c r="G140" s="12">
        <v>4.739999999999986</v>
      </c>
      <c r="H140" s="13">
        <v>11.711</v>
      </c>
      <c r="I140" s="13">
        <v>1.82</v>
      </c>
      <c r="L140" s="11"/>
      <c r="M140"/>
    </row>
    <row r="141" spans="1:13">
      <c r="A141" s="3">
        <f t="shared" si="3"/>
        <v>140</v>
      </c>
      <c r="B141" s="3" t="s">
        <v>164</v>
      </c>
      <c r="C141">
        <v>355</v>
      </c>
      <c r="D141">
        <v>19.042999999999999</v>
      </c>
      <c r="F141" s="11">
        <v>139</v>
      </c>
      <c r="G141" s="12">
        <v>4.7599999999999856</v>
      </c>
      <c r="H141" s="13">
        <v>11.667</v>
      </c>
      <c r="I141" s="13">
        <v>1.8209999999999977</v>
      </c>
      <c r="L141" s="11"/>
      <c r="M141"/>
    </row>
    <row r="142" spans="1:13">
      <c r="A142" s="3">
        <f t="shared" si="3"/>
        <v>141</v>
      </c>
      <c r="B142" s="3" t="s">
        <v>165</v>
      </c>
      <c r="C142">
        <v>358</v>
      </c>
      <c r="D142">
        <v>19.042999999999999</v>
      </c>
      <c r="F142" s="11">
        <v>140</v>
      </c>
      <c r="G142" s="12">
        <v>4.7799999999999851</v>
      </c>
      <c r="H142" s="13">
        <v>11.624000000000001</v>
      </c>
      <c r="I142" s="13">
        <v>1.8219999999999976</v>
      </c>
      <c r="L142" s="11"/>
      <c r="M142"/>
    </row>
    <row r="143" spans="1:13">
      <c r="A143" s="3">
        <f t="shared" si="3"/>
        <v>142</v>
      </c>
      <c r="B143" s="3" t="s">
        <v>166</v>
      </c>
      <c r="C143">
        <v>360</v>
      </c>
      <c r="D143">
        <v>19.042999999999999</v>
      </c>
      <c r="F143" s="11">
        <v>141</v>
      </c>
      <c r="G143" s="12">
        <v>4.7999999999999847</v>
      </c>
      <c r="H143" s="13">
        <v>11.581</v>
      </c>
      <c r="I143" s="13">
        <v>1.8229999999999975</v>
      </c>
      <c r="L143" s="11"/>
      <c r="M143"/>
    </row>
    <row r="144" spans="1:13">
      <c r="A144" s="3">
        <f t="shared" si="3"/>
        <v>143</v>
      </c>
      <c r="B144" s="3" t="s">
        <v>167</v>
      </c>
      <c r="C144">
        <v>362</v>
      </c>
      <c r="D144">
        <v>19.042999999999999</v>
      </c>
      <c r="F144" s="11">
        <v>142</v>
      </c>
      <c r="G144" s="12">
        <v>4.8199999999999843</v>
      </c>
      <c r="H144" s="13">
        <v>11.539</v>
      </c>
      <c r="I144" s="13">
        <v>1.8239999999999974</v>
      </c>
      <c r="L144" s="11"/>
      <c r="M144"/>
    </row>
    <row r="145" spans="1:9">
      <c r="A145" s="3">
        <f t="shared" si="3"/>
        <v>144</v>
      </c>
      <c r="B145" s="3" t="s">
        <v>168</v>
      </c>
      <c r="C145">
        <v>365</v>
      </c>
      <c r="D145">
        <v>19.042999999999999</v>
      </c>
      <c r="F145" s="11">
        <v>143</v>
      </c>
      <c r="G145" s="12">
        <v>4.8399999999999839</v>
      </c>
      <c r="H145" s="13">
        <v>11.497</v>
      </c>
      <c r="I145" s="13">
        <v>1.825</v>
      </c>
    </row>
    <row r="146" spans="1:9">
      <c r="A146" s="3">
        <f t="shared" si="3"/>
        <v>145</v>
      </c>
      <c r="B146" s="3" t="s">
        <v>169</v>
      </c>
      <c r="C146">
        <v>368</v>
      </c>
      <c r="D146">
        <v>19.042999999999999</v>
      </c>
      <c r="F146" s="11">
        <v>144</v>
      </c>
      <c r="G146" s="12">
        <v>4.8599999999999834</v>
      </c>
      <c r="H146" s="13">
        <v>11.455</v>
      </c>
      <c r="I146" s="13">
        <v>1.825</v>
      </c>
    </row>
    <row r="147" spans="1:9">
      <c r="A147" s="3">
        <f t="shared" si="3"/>
        <v>146</v>
      </c>
      <c r="B147" s="3" t="s">
        <v>170</v>
      </c>
      <c r="C147">
        <v>370</v>
      </c>
      <c r="D147">
        <v>19.042999999999999</v>
      </c>
      <c r="F147" s="11">
        <v>145</v>
      </c>
      <c r="G147" s="12">
        <v>4.879999999999983</v>
      </c>
      <c r="H147" s="13">
        <v>11.413</v>
      </c>
      <c r="I147" s="13">
        <v>1.8259999999999998</v>
      </c>
    </row>
    <row r="148" spans="1:9">
      <c r="A148" s="3">
        <f t="shared" si="3"/>
        <v>147</v>
      </c>
      <c r="B148" s="3" t="s">
        <v>171</v>
      </c>
      <c r="C148">
        <v>373</v>
      </c>
      <c r="D148">
        <v>19.042999999999999</v>
      </c>
      <c r="F148" s="11">
        <v>146</v>
      </c>
      <c r="G148" s="12">
        <v>4.8999999999999826</v>
      </c>
      <c r="H148" s="13">
        <v>11.372</v>
      </c>
      <c r="I148" s="13">
        <v>1.8269999999999997</v>
      </c>
    </row>
    <row r="149" spans="1:9">
      <c r="A149" s="3">
        <f t="shared" si="3"/>
        <v>148</v>
      </c>
      <c r="B149" s="3" t="s">
        <v>172</v>
      </c>
      <c r="C149">
        <v>376</v>
      </c>
      <c r="D149">
        <v>19.042999999999999</v>
      </c>
      <c r="F149" s="11">
        <v>147</v>
      </c>
      <c r="G149" s="12">
        <v>4.9199999999999822</v>
      </c>
      <c r="H149" s="13">
        <v>11.331</v>
      </c>
      <c r="I149" s="13">
        <v>1.8279999999999996</v>
      </c>
    </row>
    <row r="150" spans="1:9">
      <c r="A150" s="3">
        <f t="shared" si="3"/>
        <v>149</v>
      </c>
      <c r="B150" s="3" t="s">
        <v>173</v>
      </c>
      <c r="C150">
        <v>379</v>
      </c>
      <c r="D150">
        <v>19.042999999999999</v>
      </c>
      <c r="F150" s="11">
        <v>148</v>
      </c>
      <c r="G150" s="12">
        <v>4.9399999999999817</v>
      </c>
      <c r="H150" s="13">
        <v>11.29</v>
      </c>
      <c r="I150" s="13">
        <v>1.8289999999999995</v>
      </c>
    </row>
    <row r="151" spans="1:9">
      <c r="A151" s="3">
        <f t="shared" si="3"/>
        <v>150</v>
      </c>
      <c r="B151" s="3" t="s">
        <v>174</v>
      </c>
      <c r="C151">
        <v>382</v>
      </c>
      <c r="D151">
        <v>19.042999999999999</v>
      </c>
      <c r="F151" s="11">
        <v>149</v>
      </c>
      <c r="G151" s="12">
        <v>4.9599999999999813</v>
      </c>
      <c r="H151" s="13">
        <v>11.25</v>
      </c>
      <c r="I151" s="13">
        <v>1.83</v>
      </c>
    </row>
    <row r="152" spans="1:9">
      <c r="A152" s="3">
        <f t="shared" si="3"/>
        <v>151</v>
      </c>
      <c r="B152" s="3" t="s">
        <v>175</v>
      </c>
      <c r="C152">
        <v>385</v>
      </c>
      <c r="D152">
        <v>19.042999999999999</v>
      </c>
      <c r="F152" s="11">
        <v>150</v>
      </c>
      <c r="G152" s="12">
        <v>4.9799999999999809</v>
      </c>
      <c r="H152" s="13">
        <v>11.21</v>
      </c>
      <c r="I152" s="13">
        <v>1.8309999999999993</v>
      </c>
    </row>
    <row r="153" spans="1:9">
      <c r="A153" s="3">
        <f t="shared" si="3"/>
        <v>152</v>
      </c>
      <c r="B153" s="3" t="s">
        <v>176</v>
      </c>
      <c r="C153">
        <v>388</v>
      </c>
      <c r="D153">
        <v>19.042999999999999</v>
      </c>
      <c r="F153" s="11">
        <v>151</v>
      </c>
      <c r="G153" s="12">
        <v>4.9999999999999805</v>
      </c>
      <c r="H153" s="13">
        <v>11.17</v>
      </c>
      <c r="I153" s="11">
        <v>1.831</v>
      </c>
    </row>
    <row r="154" spans="1:9">
      <c r="A154" s="3">
        <f t="shared" si="3"/>
        <v>153</v>
      </c>
      <c r="B154" s="3" t="s">
        <v>177</v>
      </c>
      <c r="C154">
        <v>391</v>
      </c>
      <c r="D154">
        <v>19.042999999999999</v>
      </c>
    </row>
    <row r="155" spans="1:9">
      <c r="A155" s="3">
        <f t="shared" si="3"/>
        <v>154</v>
      </c>
      <c r="B155" s="3" t="s">
        <v>178</v>
      </c>
      <c r="C155">
        <v>393</v>
      </c>
      <c r="D155">
        <v>19.042999999999999</v>
      </c>
    </row>
    <row r="156" spans="1:9">
      <c r="A156" s="3">
        <f t="shared" si="3"/>
        <v>155</v>
      </c>
      <c r="B156" s="3" t="s">
        <v>179</v>
      </c>
      <c r="C156">
        <v>396</v>
      </c>
      <c r="D156">
        <v>19.042999999999999</v>
      </c>
    </row>
    <row r="157" spans="1:9">
      <c r="A157" s="3">
        <f t="shared" si="3"/>
        <v>156</v>
      </c>
      <c r="B157" s="3" t="s">
        <v>180</v>
      </c>
      <c r="C157">
        <v>399</v>
      </c>
      <c r="D157">
        <v>19.042999999999999</v>
      </c>
    </row>
    <row r="158" spans="1:9">
      <c r="A158" s="3">
        <f t="shared" si="3"/>
        <v>157</v>
      </c>
      <c r="B158" s="3" t="s">
        <v>181</v>
      </c>
      <c r="C158">
        <v>402</v>
      </c>
      <c r="D158">
        <v>19.042999999999999</v>
      </c>
    </row>
    <row r="159" spans="1:9">
      <c r="A159" s="3">
        <f t="shared" si="3"/>
        <v>158</v>
      </c>
      <c r="B159" s="3" t="s">
        <v>182</v>
      </c>
      <c r="C159">
        <v>405</v>
      </c>
      <c r="D159">
        <v>19.042999999999999</v>
      </c>
    </row>
    <row r="160" spans="1:9">
      <c r="A160" s="3">
        <f t="shared" si="3"/>
        <v>159</v>
      </c>
      <c r="B160" s="3" t="s">
        <v>183</v>
      </c>
      <c r="C160">
        <v>408</v>
      </c>
      <c r="D160">
        <v>19.042999999999999</v>
      </c>
    </row>
    <row r="161" spans="1:4">
      <c r="A161" s="3">
        <f t="shared" si="3"/>
        <v>160</v>
      </c>
      <c r="B161" s="3" t="s">
        <v>174</v>
      </c>
      <c r="C161">
        <v>411</v>
      </c>
      <c r="D161">
        <v>19.042999999999999</v>
      </c>
    </row>
    <row r="162" spans="1:4">
      <c r="A162" s="3">
        <f t="shared" si="3"/>
        <v>161</v>
      </c>
      <c r="B162" s="3" t="s">
        <v>184</v>
      </c>
      <c r="C162">
        <v>413</v>
      </c>
      <c r="D162">
        <v>19.042999999999999</v>
      </c>
    </row>
    <row r="163" spans="1:4">
      <c r="A163" s="3">
        <f t="shared" ref="A163:A201" si="4">1+A162</f>
        <v>162</v>
      </c>
      <c r="B163" s="3" t="s">
        <v>185</v>
      </c>
      <c r="C163">
        <v>416</v>
      </c>
      <c r="D163">
        <v>19.042999999999999</v>
      </c>
    </row>
    <row r="164" spans="1:4">
      <c r="A164" s="3">
        <f t="shared" si="4"/>
        <v>163</v>
      </c>
      <c r="B164" s="3" t="s">
        <v>186</v>
      </c>
      <c r="C164">
        <v>419</v>
      </c>
      <c r="D164">
        <v>19.042999999999999</v>
      </c>
    </row>
    <row r="165" spans="1:4">
      <c r="A165" s="3">
        <f t="shared" si="4"/>
        <v>164</v>
      </c>
      <c r="B165" s="3" t="s">
        <v>187</v>
      </c>
      <c r="C165">
        <v>422</v>
      </c>
      <c r="D165">
        <v>19.042999999999999</v>
      </c>
    </row>
    <row r="166" spans="1:4">
      <c r="A166" s="3">
        <f t="shared" si="4"/>
        <v>165</v>
      </c>
      <c r="B166" s="3" t="s">
        <v>188</v>
      </c>
      <c r="C166">
        <v>425</v>
      </c>
      <c r="D166">
        <v>19.042999999999999</v>
      </c>
    </row>
    <row r="167" spans="1:4">
      <c r="A167" s="3">
        <f t="shared" si="4"/>
        <v>166</v>
      </c>
      <c r="B167" s="3" t="s">
        <v>189</v>
      </c>
      <c r="C167">
        <v>428</v>
      </c>
      <c r="D167">
        <v>19.042999999999999</v>
      </c>
    </row>
    <row r="168" spans="1:4">
      <c r="A168" s="3">
        <f t="shared" si="4"/>
        <v>167</v>
      </c>
      <c r="B168" s="3" t="s">
        <v>190</v>
      </c>
      <c r="C168">
        <v>431</v>
      </c>
      <c r="D168">
        <v>19.042999999999999</v>
      </c>
    </row>
    <row r="169" spans="1:4">
      <c r="A169" s="3">
        <f t="shared" si="4"/>
        <v>168</v>
      </c>
      <c r="B169" s="3" t="s">
        <v>191</v>
      </c>
      <c r="C169">
        <v>434</v>
      </c>
      <c r="D169">
        <v>19.042999999999999</v>
      </c>
    </row>
    <row r="170" spans="1:4">
      <c r="A170" s="3">
        <f t="shared" si="4"/>
        <v>169</v>
      </c>
      <c r="B170" s="3" t="s">
        <v>192</v>
      </c>
      <c r="C170">
        <v>437</v>
      </c>
      <c r="D170">
        <v>19.042999999999999</v>
      </c>
    </row>
    <row r="171" spans="1:4">
      <c r="A171" s="3">
        <f t="shared" si="4"/>
        <v>170</v>
      </c>
      <c r="B171" s="3" t="s">
        <v>193</v>
      </c>
      <c r="C171">
        <v>440</v>
      </c>
      <c r="D171">
        <v>19.042999999999999</v>
      </c>
    </row>
    <row r="172" spans="1:4">
      <c r="A172" s="3">
        <f t="shared" si="4"/>
        <v>171</v>
      </c>
      <c r="B172" s="3" t="s">
        <v>194</v>
      </c>
      <c r="C172">
        <v>443</v>
      </c>
      <c r="D172">
        <v>19.042999999999999</v>
      </c>
    </row>
    <row r="173" spans="1:4">
      <c r="A173" s="3">
        <f t="shared" si="4"/>
        <v>172</v>
      </c>
      <c r="B173" s="3" t="s">
        <v>195</v>
      </c>
      <c r="C173">
        <v>446</v>
      </c>
      <c r="D173">
        <v>19.042999999999999</v>
      </c>
    </row>
    <row r="174" spans="1:4">
      <c r="A174" s="3">
        <f t="shared" si="4"/>
        <v>173</v>
      </c>
      <c r="B174" s="3" t="s">
        <v>196</v>
      </c>
      <c r="C174">
        <v>449</v>
      </c>
      <c r="D174">
        <v>19.042999999999999</v>
      </c>
    </row>
    <row r="175" spans="1:4">
      <c r="A175" s="3">
        <f t="shared" si="4"/>
        <v>174</v>
      </c>
      <c r="B175" s="3" t="s">
        <v>197</v>
      </c>
      <c r="C175">
        <v>452</v>
      </c>
      <c r="D175">
        <v>19.042999999999999</v>
      </c>
    </row>
    <row r="176" spans="1:4">
      <c r="A176" s="3">
        <f t="shared" si="4"/>
        <v>175</v>
      </c>
      <c r="B176" s="3" t="s">
        <v>198</v>
      </c>
      <c r="C176">
        <v>455</v>
      </c>
      <c r="D176">
        <v>19.042999999999999</v>
      </c>
    </row>
    <row r="177" spans="1:4">
      <c r="A177" s="3">
        <f t="shared" si="4"/>
        <v>176</v>
      </c>
      <c r="B177" s="3" t="s">
        <v>199</v>
      </c>
      <c r="C177">
        <v>457</v>
      </c>
      <c r="D177">
        <v>19.042999999999999</v>
      </c>
    </row>
    <row r="178" spans="1:4">
      <c r="A178" s="3">
        <f t="shared" si="4"/>
        <v>177</v>
      </c>
      <c r="B178" s="3" t="s">
        <v>200</v>
      </c>
      <c r="C178">
        <v>460</v>
      </c>
      <c r="D178">
        <v>19.042999999999999</v>
      </c>
    </row>
    <row r="179" spans="1:4">
      <c r="A179" s="3">
        <f t="shared" si="4"/>
        <v>178</v>
      </c>
      <c r="B179" s="3" t="s">
        <v>201</v>
      </c>
      <c r="C179">
        <v>463</v>
      </c>
      <c r="D179">
        <v>19.042999999999999</v>
      </c>
    </row>
    <row r="180" spans="1:4">
      <c r="A180" s="3">
        <f t="shared" si="4"/>
        <v>179</v>
      </c>
      <c r="B180" s="3" t="s">
        <v>202</v>
      </c>
      <c r="C180">
        <v>466</v>
      </c>
      <c r="D180">
        <v>19.042999999999999</v>
      </c>
    </row>
    <row r="181" spans="1:4">
      <c r="A181" s="3">
        <f t="shared" si="4"/>
        <v>180</v>
      </c>
      <c r="B181" s="3" t="s">
        <v>193</v>
      </c>
      <c r="C181">
        <v>468</v>
      </c>
      <c r="D181">
        <v>19.042999999999999</v>
      </c>
    </row>
    <row r="182" spans="1:4">
      <c r="A182" s="3">
        <f t="shared" si="4"/>
        <v>181</v>
      </c>
      <c r="B182" s="3" t="s">
        <v>203</v>
      </c>
      <c r="C182">
        <v>471</v>
      </c>
      <c r="D182">
        <v>19.042999999999999</v>
      </c>
    </row>
    <row r="183" spans="1:4">
      <c r="A183" s="3">
        <f t="shared" si="4"/>
        <v>182</v>
      </c>
      <c r="B183" s="3" t="s">
        <v>204</v>
      </c>
      <c r="C183">
        <v>474</v>
      </c>
      <c r="D183">
        <v>19.042999999999999</v>
      </c>
    </row>
    <row r="184" spans="1:4">
      <c r="A184" s="3">
        <f t="shared" si="4"/>
        <v>183</v>
      </c>
      <c r="B184" s="3" t="s">
        <v>205</v>
      </c>
      <c r="C184">
        <v>477</v>
      </c>
      <c r="D184">
        <v>19.042999999999999</v>
      </c>
    </row>
    <row r="185" spans="1:4">
      <c r="A185" s="3">
        <f t="shared" si="4"/>
        <v>184</v>
      </c>
      <c r="B185" s="3" t="s">
        <v>206</v>
      </c>
      <c r="C185">
        <v>480</v>
      </c>
      <c r="D185">
        <v>19.042999999999999</v>
      </c>
    </row>
    <row r="186" spans="1:4">
      <c r="A186" s="3">
        <f t="shared" si="4"/>
        <v>185</v>
      </c>
      <c r="B186" s="3" t="s">
        <v>207</v>
      </c>
      <c r="C186">
        <v>483</v>
      </c>
      <c r="D186">
        <v>19.042999999999999</v>
      </c>
    </row>
    <row r="187" spans="1:4">
      <c r="A187" s="3">
        <f t="shared" si="4"/>
        <v>186</v>
      </c>
      <c r="B187" s="3" t="s">
        <v>208</v>
      </c>
      <c r="C187">
        <v>485</v>
      </c>
      <c r="D187">
        <v>19.042999999999999</v>
      </c>
    </row>
    <row r="188" spans="1:4">
      <c r="A188" s="3">
        <f t="shared" si="4"/>
        <v>187</v>
      </c>
      <c r="B188" s="3" t="s">
        <v>209</v>
      </c>
      <c r="C188">
        <v>488</v>
      </c>
      <c r="D188">
        <v>19.042999999999999</v>
      </c>
    </row>
    <row r="189" spans="1:4">
      <c r="A189" s="3">
        <f t="shared" si="4"/>
        <v>188</v>
      </c>
      <c r="B189" s="3" t="s">
        <v>210</v>
      </c>
      <c r="C189">
        <v>491</v>
      </c>
      <c r="D189">
        <v>19.042999999999999</v>
      </c>
    </row>
    <row r="190" spans="1:4">
      <c r="A190" s="3">
        <f t="shared" si="4"/>
        <v>189</v>
      </c>
      <c r="B190" s="3" t="s">
        <v>211</v>
      </c>
      <c r="C190">
        <v>494</v>
      </c>
      <c r="D190">
        <v>19.042999999999999</v>
      </c>
    </row>
    <row r="191" spans="1:4">
      <c r="A191" s="3">
        <f t="shared" si="4"/>
        <v>190</v>
      </c>
      <c r="B191" s="3" t="s">
        <v>212</v>
      </c>
      <c r="C191">
        <v>497</v>
      </c>
      <c r="D191">
        <v>19.042999999999999</v>
      </c>
    </row>
    <row r="192" spans="1:4">
      <c r="A192" s="3">
        <f t="shared" si="4"/>
        <v>191</v>
      </c>
      <c r="B192" s="3" t="s">
        <v>213</v>
      </c>
      <c r="C192">
        <v>500</v>
      </c>
      <c r="D192">
        <v>19.042999999999999</v>
      </c>
    </row>
    <row r="193" spans="1:4">
      <c r="A193" s="3">
        <f t="shared" si="4"/>
        <v>192</v>
      </c>
      <c r="B193" s="3" t="s">
        <v>214</v>
      </c>
      <c r="C193">
        <v>503</v>
      </c>
      <c r="D193">
        <v>19.042999999999999</v>
      </c>
    </row>
    <row r="194" spans="1:4">
      <c r="A194" s="3">
        <f t="shared" si="4"/>
        <v>193</v>
      </c>
      <c r="B194" s="3" t="s">
        <v>215</v>
      </c>
      <c r="C194">
        <v>505</v>
      </c>
      <c r="D194">
        <v>19.042999999999999</v>
      </c>
    </row>
    <row r="195" spans="1:4">
      <c r="A195" s="3">
        <f t="shared" si="4"/>
        <v>194</v>
      </c>
      <c r="B195" s="3" t="s">
        <v>216</v>
      </c>
      <c r="C195">
        <v>507</v>
      </c>
      <c r="D195">
        <v>19.042999999999999</v>
      </c>
    </row>
    <row r="196" spans="1:4">
      <c r="A196" s="3">
        <f t="shared" si="4"/>
        <v>195</v>
      </c>
      <c r="B196" s="3" t="s">
        <v>217</v>
      </c>
      <c r="C196">
        <v>510</v>
      </c>
      <c r="D196">
        <v>19.042999999999999</v>
      </c>
    </row>
    <row r="197" spans="1:4">
      <c r="A197" s="3">
        <f t="shared" si="4"/>
        <v>196</v>
      </c>
      <c r="B197" s="3" t="s">
        <v>218</v>
      </c>
      <c r="C197">
        <v>513</v>
      </c>
      <c r="D197">
        <v>19.042999999999999</v>
      </c>
    </row>
    <row r="198" spans="1:4">
      <c r="A198" s="3">
        <f t="shared" si="4"/>
        <v>197</v>
      </c>
      <c r="B198" s="3" t="s">
        <v>219</v>
      </c>
      <c r="C198">
        <v>516</v>
      </c>
      <c r="D198">
        <v>19.042999999999999</v>
      </c>
    </row>
    <row r="199" spans="1:4">
      <c r="A199" s="3">
        <f t="shared" si="4"/>
        <v>198</v>
      </c>
      <c r="B199" s="3" t="s">
        <v>220</v>
      </c>
      <c r="C199">
        <v>519</v>
      </c>
      <c r="D199">
        <v>19.042999999999999</v>
      </c>
    </row>
    <row r="200" spans="1:4">
      <c r="A200" s="3">
        <f t="shared" si="4"/>
        <v>199</v>
      </c>
      <c r="B200" s="3" t="s">
        <v>221</v>
      </c>
      <c r="C200">
        <v>522</v>
      </c>
      <c r="D200">
        <v>19.042999999999999</v>
      </c>
    </row>
    <row r="201" spans="1:4">
      <c r="A201" s="3">
        <f t="shared" si="4"/>
        <v>200</v>
      </c>
      <c r="B201" s="3" t="s">
        <v>222</v>
      </c>
      <c r="C201">
        <v>525</v>
      </c>
      <c r="D201">
        <v>19.042999999999999</v>
      </c>
    </row>
  </sheetData>
  <phoneticPr fontId="0" type="noConversion"/>
  <printOptions gridLines="1" gridLinesSet="0"/>
  <pageMargins left="0.75" right="0.75" top="1" bottom="1" header="0.5" footer="0.5"/>
  <pageSetup paperSize="9" orientation="portrait" horizontalDpi="4294967292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 of shorLISE.xlsm functions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Oleg Tarasov</dc:creator>
  <cp:lastModifiedBy>Oleg Tarasov</cp:lastModifiedBy>
  <cp:lastPrinted>2002-10-30T23:37:08Z</cp:lastPrinted>
  <dcterms:created xsi:type="dcterms:W3CDTF">2006-07-07T19:15:45Z</dcterms:created>
  <dcterms:modified xsi:type="dcterms:W3CDTF">2023-08-05T09:26:06Z</dcterms:modified>
</cp:coreProperties>
</file>